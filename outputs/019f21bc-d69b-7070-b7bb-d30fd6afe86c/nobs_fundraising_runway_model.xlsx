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b9ab84dc840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91e7068d3449f4"/>
    <x:sheet xmlns:r="http://schemas.openxmlformats.org/officeDocument/2006/relationships" name="Assumptions" sheetId="2" r:id="R5c2bbb90d92d4b7c"/>
    <x:sheet xmlns:r="http://schemas.openxmlformats.org/officeDocument/2006/relationships" name="Monthly Model" sheetId="3" r:id="R6143e22f89fe4a18"/>
    <x:sheet xmlns:r="http://schemas.openxmlformats.org/officeDocument/2006/relationships" name="Checks" sheetId="4" r:id="R6e3dd58473794472"/>
    <x:sheet xmlns:r="http://schemas.openxmlformats.org/officeDocument/2006/relationships" name="Sources" sheetId="5" r:id="R7ebd3b21f8044b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;[Red]($#,##0);-"/>
    <x:numFmt numFmtId="202" formatCode="0.0%;[Red](0.0%);-"/>
    <x:numFmt numFmtId="203" formatCode="mmm yy"/>
  </x:numFmts>
  <x:fonts count="10">
    <x:font>
      <x:sz val="11"/>
      <x:name val="Carlito"/>
    </x:font>
    <x:font>
      <x:sz val="10"/>
      <x:color rgb="FF111111"/>
      <x:name val="Aptos"/>
    </x:font>
    <x:font>
      <x:b/>
      <x:sz val="18"/>
      <x:color rgb="FFFFFFFF"/>
      <x:name val="Aptos Display"/>
    </x:font>
    <x:font>
      <x:b/>
      <x:sz val="10"/>
      <x:color rgb="FF263522"/>
      <x:name val="Aptos"/>
    </x:font>
    <x:font>
      <x:b/>
      <x:sz val="11"/>
      <x:color rgb="FFFFFFFF"/>
      <x:name val="Aptos"/>
    </x:font>
    <x:font>
      <x:b/>
      <x:sz val="12"/>
      <x:color rgb="FF111111"/>
      <x:name val="Aptos"/>
    </x:font>
    <x:font>
      <x:b/>
      <x:sz val="10"/>
      <x:color rgb="FFFFFFFF"/>
      <x:name val="Aptos"/>
    </x:font>
    <x:font>
      <x:sz val="10"/>
      <x:color rgb="FF0000FF"/>
      <x:name val="Aptos"/>
    </x:font>
    <x:font>
      <x:sz val="10"/>
      <x:color rgb="FF008000"/>
      <x:name val="Aptos"/>
    </x:font>
    <x:font>
      <x:b/>
      <x:sz val="10"/>
      <x:color rgb="FF111111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63522"/>
      </x:patternFill>
    </x:fill>
    <x:fill>
      <x:patternFill patternType="solid">
        <x:fgColor rgb="FF4F6E34"/>
      </x:patternFill>
    </x:fill>
    <x:fill>
      <x:patternFill patternType="solid">
        <x:fgColor rgb="FFF8F5E9"/>
      </x:patternFill>
    </x:fill>
    <x:fill>
      <x:patternFill patternType="solid">
        <x:fgColor rgb="FFEEF1E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CBD5C0"/>
      </x:left>
      <x:right style="thin">
        <x:color rgb="FFCBD5C0"/>
      </x:right>
      <x:top style="thin">
        <x:color rgb="FFCBD5C0"/>
      </x:top>
    </x:border>
    <x:border>
      <x:left style="thin">
        <x:color rgb="FFCBD5C0"/>
      </x:left>
      <x:right style="thin">
        <x:color rgb="FFCBD5C0"/>
      </x:right>
    </x:border>
    <x:border>
      <x:left style="thin">
        <x:color rgb="FFCBD5C0"/>
      </x:left>
      <x:right style="thin">
        <x:color rgb="FFCBD5C0"/>
      </x:right>
      <x:bottom style="thin">
        <x:color rgb="FFCBD5C0"/>
      </x:bottom>
    </x:border>
    <x:border>
      <x:top style="thin">
        <x:color rgb="FFCBD5C0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201" fontId="1" fillId="4" borderId="0" xfId="0" applyNumberFormat="1" applyFont="1" applyFill="1" applyBorder="1"/>
    <x:xf numFmtId="0" fontId="1" fillId="4" borderId="0" xfId="0" applyNumberFormat="1" applyFont="1" applyFill="1" applyBorder="1"/>
    <x:xf numFmtId="201" fontId="5" fillId="4" borderId="0" xfId="0" applyNumberFormat="1" applyFont="1" applyFill="1" applyBorder="1"/>
    <x:xf numFmtId="0" fontId="5" fillId="4" borderId="0" xfId="0" applyNumberFormat="1" applyFont="1" applyFill="1" applyBorder="1"/>
    <x:xf numFmtId="201" fontId="5" fillId="4" borderId="1" xfId="0" applyNumberFormat="1" applyFont="1" applyFill="1" applyBorder="1"/>
    <x:xf numFmtId="201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1" fillId="6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8" fillId="6" borderId="0" xfId="0" applyNumberFormat="1" applyFont="1" applyFill="1" applyBorder="1"/>
    <x:xf numFmtId="202" fontId="7" fillId="7" borderId="0" xfId="0" applyNumberFormat="1" applyFont="1" applyFill="1" applyBorder="1"/>
    <x:xf numFmtId="201" fontId="7" fillId="7" borderId="0" xfId="0" applyNumberFormat="1" applyFont="1" applyFill="1" applyBorder="1"/>
    <x:xf numFmtId="201" fontId="8" fillId="6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201" fontId="7" fillId="7" borderId="0" xfId="0" applyNumberFormat="1" applyFont="1" applyFill="1" applyBorder="1" applyAlignment="1">
      <x:alignment wrapText="1"/>
    </x:xf>
    <x:xf numFmtId="202" fontId="7" fillId="7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201" fontId="8" fillId="6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right"/>
    </x:xf>
    <x:xf numFmtId="203" fontId="6" fillId="3" borderId="0" xfId="0" applyNumberFormat="1" applyFont="1" applyFill="1" applyBorder="1" applyAlignment="1">
      <x:alignment horizontal="right"/>
    </x:xf>
    <x:xf numFmtId="0" fontId="1" fillId="0" borderId="4" xfId="0" applyNumberFormat="1" applyFont="1" applyFill="1" applyBorder="1"/>
    <x:xf numFmtId="0" fontId="9" fillId="0" borderId="4" xfId="0" applyNumberFormat="1" applyFont="1" applyFill="1" applyBorder="1"/>
    <x:xf numFmtId="201" fontId="9" fillId="0" borderId="4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8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263522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171c1c3c214266" /><Relationship Type="http://schemas.openxmlformats.org/officeDocument/2006/relationships/theme" Target="/xl/theme/theme1.xml" Id="R9b7807eefd8b462b" /><Relationship Type="http://schemas.openxmlformats.org/officeDocument/2006/relationships/sharedStrings" Target="/xl/sharedStrings.xml" Id="R41f7edf01c9340e6" /><Relationship Type="http://schemas.openxmlformats.org/officeDocument/2006/relationships/worksheet" Target="/xl/worksheets/sheet1.xml" Id="R3b91e7068d3449f4" /><Relationship Type="http://schemas.openxmlformats.org/officeDocument/2006/relationships/worksheet" Target="/xl/worksheets/sheet2.xml" Id="R5c2bbb90d92d4b7c" /><Relationship Type="http://schemas.openxmlformats.org/officeDocument/2006/relationships/worksheet" Target="/xl/worksheets/sheet3.xml" Id="R6143e22f89fe4a18" /><Relationship Type="http://schemas.openxmlformats.org/officeDocument/2006/relationships/worksheet" Target="/xl/worksheets/sheet4.xml" Id="R6e3dd58473794472" /><Relationship Type="http://schemas.openxmlformats.org/officeDocument/2006/relationships/worksheet" Target="/xl/worksheets/sheet5.xml" Id="R7ebd3b21f8044b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6" customHeight="1">
      <x:c r="A1" s="5" t="str">
        <x:v>NOBS Fundraising Runway Model</x:v>
      </x:c>
      <x:c r="B1" s="5" t="str">
        <x:v>NOBS Fundraising Runway Model</x:v>
      </x:c>
      <x:c r="C1" s="5" t="str">
        <x:v>NOBS Fundraising Runway Model</x:v>
      </x:c>
      <x:c r="D1" s="5" t="str">
        <x:v>NOBS Fundraising Runway Model</x:v>
      </x:c>
      <x:c r="E1" s="5" t="str">
        <x:v>NOBS Fundraising Runway Model</x:v>
      </x:c>
      <x:c r="F1" s="5" t="str">
        <x:v>NOBS Fundraising Runway Model</x:v>
      </x:c>
      <x:c r="G1" s="5" t="str">
        <x:v>NOBS Fundraising Runway Model</x:v>
      </x:c>
      <x:c r="H1" s="5" t="str">
        <x:v>NOBS Fundraising Runway Model</x:v>
      </x:c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6" customHeight="1">
      <x:c r="A2" s="5" t="str">
        <x:v>NOBS Fundraising Runway Model</x:v>
      </x:c>
      <x:c r="B2" s="5" t="str">
        <x:v>NOBS Fundraising Runway Model</x:v>
      </x:c>
      <x:c r="C2" s="5" t="str">
        <x:v>NOBS Fundraising Runway Model</x:v>
      </x:c>
      <x:c r="D2" s="5" t="str">
        <x:v>NOBS Fundraising Runway Model</x:v>
      </x:c>
      <x:c r="E2" s="5" t="str">
        <x:v>NOBS Fundraising Runway Model</x:v>
      </x:c>
      <x:c r="F2" s="5" t="str">
        <x:v>NOBS Fundraising Runway Model</x:v>
      </x:c>
      <x:c r="G2" s="5" t="str">
        <x:v>NOBS Fundraising Runway Model</x:v>
      </x:c>
      <x:c r="H2" s="5" t="str">
        <x:v>NOBS Fundraising Runway Model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7" t="str">
        <x:v>Model owner</x:v>
      </x:c>
      <x:c r="B4" s="1" t="str">
        <x:v>Alexander Burgess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7" t="str">
        <x:v>Version</x:v>
      </x:c>
      <x:c r="B5" s="1" t="str">
        <x:v>Working template — founder inputs required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7" t="str">
        <x:v>Forecast period</x:v>
      </x:c>
      <x:c r="B6" s="1" t="str">
        <x:v>18 months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7" t="str">
        <x:v>Currency</x:v>
      </x:c>
      <x:c r="B7" s="1" t="str">
        <x:v>USD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7" t="str">
        <x:v>Updated</x:v>
      </x:c>
      <x:c r="B8" s="6" t="n">
        <x:v>46205.5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0" customHeight="1">
      <x:c r="A10" s="10" t="str">
        <x:v>Decision Summary</x:v>
      </x:c>
      <x:c r="B10" s="10" t="str">
        <x:v>Decision Summary</x:v>
      </x:c>
      <x:c r="C10" s="10" t="str">
        <x:v>Decision Summary</x:v>
      </x:c>
      <x:c r="D10" s="10" t="str">
        <x:v>Decision Summary</x:v>
      </x:c>
      <x:c r="E10" s="10" t="str">
        <x:v>Decision Summary</x:v>
      </x:c>
      <x:c r="F10" s="10" t="str">
        <x:v>Decision Summary</x:v>
      </x:c>
      <x:c r="G10" s="10" t="str">
        <x:v>Decision Summary</x:v>
      </x:c>
      <x:c r="H10" s="10" t="str">
        <x:v>Decision Summary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7" t="str">
        <x:v>Illustrative raise target</x:v>
      </x:c>
      <x:c r="B12" s="16" t="n">
        <x:f>'Assumptions'!$B$14</x:f>
        <x:v>650000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7" t="str">
        <x:v>18-month operating need</x:v>
      </x:c>
      <x:c r="B13" s="17" t="n">
        <x:f>SUM('Monthly Model'!$B$25:$S$25)</x:f>
        <x:v>523292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7" t="str">
        <x:v>Founder runway included</x:v>
      </x:c>
      <x:c r="B14" s="17" t="n">
        <x:f>SUM('Monthly Model'!$B$6:$S$6)</x:f>
        <x:v>126000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7" t="str">
        <x:v>Ending safety reserve</x:v>
      </x:c>
      <x:c r="B15" s="17" t="n">
        <x:f>'Assumptions'!$B$10*AVERAGE('Monthly Model'!$N$25:$S$25)</x:f>
        <x:v>82104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7" t="str">
        <x:v>Model status</x:v>
      </x:c>
      <x:c r="B16" s="18" t="str">
        <x:f>'Checks'!$B$3</x:f>
        <x:v>PASS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0" customHeight="1">
      <x:c r="A18" s="10" t="str">
        <x:v>How to Use This Workbook</x:v>
      </x:c>
      <x:c r="B18" s="10" t="str">
        <x:v>How to Use This Workbook</x:v>
      </x:c>
      <x:c r="C18" s="10" t="str">
        <x:v>How to Use This Workbook</x:v>
      </x:c>
      <x:c r="D18" s="10" t="str">
        <x:v>How to Use This Workbook</x:v>
      </x:c>
      <x:c r="E18" s="10" t="str">
        <x:v>How to Use This Workbook</x:v>
      </x:c>
      <x:c r="F18" s="10" t="str">
        <x:v>How to Use This Workbook</x:v>
      </x:c>
      <x:c r="G18" s="10" t="str">
        <x:v>How to Use This Workbook</x:v>
      </x:c>
      <x:c r="H18" s="10" t="str">
        <x:v>How to Use This Workbook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4" customHeight="1">
      <x:c r="A20" s="20" t="str">
        <x:v>1. Replace every yellow assumption on the Assumptions sheet with founder-approved values.</x:v>
      </x:c>
      <x:c r="B20" s="20"/>
      <x:c r="C20" s="20"/>
      <x:c r="D20" s="20"/>
      <x:c r="E20" s="20"/>
      <x:c r="F20" s="20"/>
      <x:c r="G20" s="20"/>
      <x:c r="H20" s="20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4" customHeight="1">
      <x:c r="A21" s="20" t="str">
        <x:v>2. Review the Monthly Model for hiring timing, one-time costs, and runway shape.</x:v>
      </x:c>
      <x:c r="B21" s="20"/>
      <x:c r="C21" s="20"/>
      <x:c r="D21" s="20"/>
      <x:c r="E21" s="20"/>
      <x:c r="F21" s="20"/>
      <x:c r="G21" s="20"/>
      <x:c r="H21" s="20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4" customHeight="1">
      <x:c r="A22" s="20" t="str">
        <x:v>3. Resolve any failed Checks before quoting the raise target externally.</x:v>
      </x:c>
      <x:c r="B22" s="20"/>
      <x:c r="C22" s="20"/>
      <x:c r="D22" s="20"/>
      <x:c r="E22" s="20"/>
      <x:c r="F22" s="20"/>
      <x:c r="G22" s="20"/>
      <x:c r="H22" s="20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24" customHeight="1">
      <x:c r="A23" s="20" t="str">
        <x:v>4. Use the rounded raise target only after counsel, cap-table, and financing-instrument decisions.</x:v>
      </x:c>
      <x:c r="B23" s="20"/>
      <x:c r="C23" s="20"/>
      <x:c r="D23" s="20"/>
      <x:c r="E23" s="20"/>
      <x:c r="F23" s="20"/>
      <x:c r="G23" s="20"/>
      <x:c r="H23" s="20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4" customHeight="1">
      <x:c r="A24" s="20" t="str">
        <x:v>Illustrative defaults are planning placeholders, not recommendations or externally supportable claims.</x:v>
      </x:c>
      <x:c r="B24" s="20"/>
      <x:c r="C24" s="20"/>
      <x:c r="D24" s="20"/>
      <x:c r="E24" s="20"/>
      <x:c r="F24" s="20"/>
      <x:c r="G24" s="20"/>
      <x:c r="H24" s="20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1:H2"/>
    <x:mergeCell ref="A10:H10"/>
    <x:mergeCell ref="A18:H18"/>
    <x:mergeCell ref="A20:H20"/>
    <x:mergeCell ref="A21:H21"/>
    <x:mergeCell ref="A22:H22"/>
    <x:mergeCell ref="A23:H23"/>
    <x:mergeCell ref="A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4" hidden="0" customWidth="1"/>
    <x:col min="4" max="4" width="14" hidden="0" customWidth="1"/>
    <x:col min="5" max="5" width="54" hidden="0" customWidth="1"/>
    <x:col min="7" max="7" width="24" hidden="0" customWidth="1"/>
    <x:col min="8" max="8" width="28" hidden="0" customWidth="1"/>
  </x:cols>
  <x:sheetData>
    <x:row r="1" ht="26" customHeight="1">
      <x:c r="A1" s="5" t="str">
        <x:v>Assumptions</x:v>
      </x:c>
      <x:c r="B1" s="5" t="str">
        <x:v>Assumptions</x:v>
      </x:c>
      <x:c r="C1" s="5" t="str">
        <x:v>Assumptions</x:v>
      </x:c>
      <x:c r="D1" s="5" t="str">
        <x:v>Assumptions</x:v>
      </x:c>
      <x:c r="E1" s="5" t="str">
        <x:v>Assumptions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6" customHeight="1">
      <x:c r="A2" s="5" t="str">
        <x:v>Assumptions</x:v>
      </x:c>
      <x:c r="B2" s="5" t="str">
        <x:v>Assumptions</x:v>
      </x:c>
      <x:c r="C2" s="5" t="str">
        <x:v>Assumptions</x:v>
      </x:c>
      <x:c r="D2" s="5" t="str">
        <x:v>Assumptions</x:v>
      </x:c>
      <x:c r="E2" s="5" t="str">
        <x:v>Assumptions</x:v>
      </x:c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1" t="str">
        <x:v>Input</x:v>
      </x:c>
      <x:c r="B4" s="21" t="str">
        <x:v>Value</x:v>
      </x:c>
      <x:c r="C4" s="21" t="str">
        <x:v>Units</x:v>
      </x:c>
      <x:c r="D4" s="21" t="str">
        <x:v>Status</x:v>
      </x:c>
      <x:c r="E4" s="21" t="str">
        <x:v>Notes</x:v>
      </x:c>
      <x:c r="F4" s="1"/>
      <x:c r="G4" s="46" t="str">
        <x:v>Legend</x:v>
      </x:c>
      <x:c r="H4" s="46" t="str">
        <x:v>Meaning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9" t="str">
        <x:v>Forecast months</x:v>
      </x:c>
      <x:c r="B5" s="31" t="n">
        <x:v>18</x:v>
      </x:c>
      <x:c r="C5" s="19" t="str">
        <x:v>months</x:v>
      </x:c>
      <x:c r="D5" s="19" t="str">
        <x:v>Review</x:v>
      </x:c>
      <x:c r="E5" s="19" t="str">
        <x:v>Model timeline; keep at 18 for this template</x:v>
      </x:c>
      <x:c r="F5" s="1"/>
      <x:c r="G5" s="26" t="str">
        <x:v>Blue text / yellow fill</x:v>
      </x:c>
      <x:c r="H5" s="1" t="str">
        <x:v>Editable founder input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9" t="str">
        <x:v>Current company cash</x:v>
      </x:c>
      <x:c r="B6" s="32" t="n">
        <x:v>0</x:v>
      </x:c>
      <x:c r="C6" s="19" t="str">
        <x:v>USD</x:v>
      </x:c>
      <x:c r="D6" s="19" t="str">
        <x:v>Replace</x:v>
      </x:c>
      <x:c r="E6" s="19" t="str">
        <x:v>Enter unrestricted company cash available to fund operations</x:v>
      </x:c>
      <x:c r="F6" s="1"/>
      <x:c r="G6" s="1" t="str">
        <x:v>Black text</x:v>
      </x:c>
      <x:c r="H6" s="1" t="str">
        <x:v>Formula or calculation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9" t="str">
        <x:v>Committed financing</x:v>
      </x:c>
      <x:c r="B7" s="32" t="n">
        <x:v>0</x:v>
      </x:c>
      <x:c r="C7" s="19" t="str">
        <x:v>USD</x:v>
      </x:c>
      <x:c r="D7" s="19" t="str">
        <x:v>Replace</x:v>
      </x:c>
      <x:c r="E7" s="19" t="str">
        <x:v>Include only signed/committed capital, not conversations</x:v>
      </x:c>
      <x:c r="F7" s="1"/>
      <x:c r="G7" s="47" t="str">
        <x:v>Green text</x:v>
      </x:c>
      <x:c r="H7" s="1" t="str">
        <x:v>Cross-sheet reference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9" t="str">
        <x:v>Contingency</x:v>
      </x:c>
      <x:c r="B8" s="33" t="n">
        <x:v>0.1</x:v>
      </x:c>
      <x:c r="C8" s="19" t="str">
        <x:v>% of operating need</x:v>
      </x:c>
      <x:c r="D8" s="19" t="str">
        <x:v>Review</x:v>
      </x:c>
      <x:c r="E8" s="19" t="str">
        <x:v>Planning buffer; validate against hiring and technical risk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9" t="str">
        <x:v>Minimum cash at close</x:v>
      </x:c>
      <x:c r="B9" s="32" t="n">
        <x:v>25000</x:v>
      </x:c>
      <x:c r="C9" s="19" t="str">
        <x:v>USD</x:v>
      </x:c>
      <x:c r="D9" s="19" t="str">
        <x:v>Replace</x:v>
      </x:c>
      <x:c r="E9" s="19" t="str">
        <x:v>Legal, payroll, and operating cushion immediately after financing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9" t="str">
        <x:v>Ending safety reserve</x:v>
      </x:c>
      <x:c r="B10" s="32" t="n">
        <x:v>3</x:v>
      </x:c>
      <x:c r="C10" s="19" t="str">
        <x:v>months of burn</x:v>
      </x:c>
      <x:c r="D10" s="19" t="str">
        <x:v>Review</x:v>
      </x:c>
      <x:c r="E10" s="19" t="str">
        <x:v>Reserve remaining at month 18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9" t="str">
        <x:v>Rounding increment</x:v>
      </x:c>
      <x:c r="B11" s="32" t="n">
        <x:v>25000</x:v>
      </x:c>
      <x:c r="C11" s="19" t="str">
        <x:v>USD</x:v>
      </x:c>
      <x:c r="D11" s="19" t="str">
        <x:v>Review</x:v>
      </x:c>
      <x:c r="E11" s="19" t="str">
        <x:v>External financing target rounding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9" t="str">
        <x:v>Calculated funding need</x:v>
      </x:c>
      <x:c r="B12" s="34" t="n">
        <x:f>SUM('Monthly Model'!$B$23:$S$23)*(1+$B$8)+($B$10*AVERAGE('Monthly Model'!$N$25:$S$25))+$B$9-$B$6-$B$7</x:f>
        <x:v>630396</x:v>
      </x:c>
      <x:c r="C12" s="19" t="str">
        <x:v>USD</x:v>
      </x:c>
      <x:c r="D12" s="19" t="str">
        <x:v>Formula</x:v>
      </x:c>
      <x:c r="E12" s="19" t="str">
        <x:v>Operating need + contingency + reserve + close cash - current cash - committed financing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9" t="str">
        <x:v>Illustrative raise target</x:v>
      </x:c>
      <x:c r="B13" s="34" t="n">
        <x:f>ROUNDUP(B12/B11,0)*B11</x:f>
        <x:v>650000</x:v>
      </x:c>
      <x:c r="C13" s="19" t="str">
        <x:v>USD</x:v>
      </x:c>
      <x:c r="D13" s="19" t="str">
        <x:v>Formula</x:v>
      </x:c>
      <x:c r="E13" s="19" t="str">
        <x:v>Calculated need rounded up to the selected increment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35" t="str">
        <x:v>Published raise target</x:v>
      </x:c>
      <x:c r="B14" s="36" t="n">
        <x:f>B13</x:f>
        <x:v>650000</x:v>
      </x:c>
      <x:c r="C14" s="35" t="str">
        <x:v>USD</x:v>
      </x:c>
      <x:c r="D14" s="35" t="str">
        <x:v>Founder approval</x:v>
      </x:c>
      <x:c r="E14" s="35" t="str">
        <x:v>Enter the externally stated round size only after reviewing the model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9"/>
      <x:c r="B15" s="19"/>
      <x:c r="C15" s="19"/>
      <x:c r="D15" s="19"/>
      <x:c r="E15" s="19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0" customHeight="1">
      <x:c r="A16" s="37" t="str">
        <x:v>Monthly Operating Drivers</x:v>
      </x:c>
      <x:c r="B16" s="37" t="str">
        <x:v>Monthly Operating Drivers</x:v>
      </x:c>
      <x:c r="C16" s="37" t="str">
        <x:v>Monthly Operating Drivers</x:v>
      </x:c>
      <x:c r="D16" s="37" t="str">
        <x:v>Monthly Operating Drivers</x:v>
      </x:c>
      <x:c r="E16" s="37" t="str">
        <x:v>Monthly Operating Drivers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38" t="str">
        <x:v>Cost driver</x:v>
      </x:c>
      <x:c r="B17" s="38" t="str">
        <x:v>Monthly amount</x:v>
      </x:c>
      <x:c r="C17" s="38" t="str">
        <x:v>Start month</x:v>
      </x:c>
      <x:c r="D17" s="38" t="str">
        <x:v>End month</x:v>
      </x:c>
      <x:c r="E17" s="38" t="str">
        <x:v>Notes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9" t="str">
        <x:v>Founder compensation</x:v>
      </x:c>
      <x:c r="B18" s="32" t="n">
        <x:v>7000</x:v>
      </x:c>
      <x:c r="C18" s="31" t="n">
        <x:v>1</x:v>
      </x:c>
      <x:c r="D18" s="31" t="n">
        <x:v>18</x:v>
      </x:c>
      <x:c r="E18" s="19" t="str">
        <x:v>Replace with minimum sustainable gross monthly compensation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9" t="str">
        <x:v>Payroll taxes / benefits</x:v>
      </x:c>
      <x:c r="B19" s="33" t="n">
        <x:v>0.12</x:v>
      </x:c>
      <x:c r="C19" s="31" t="n">
        <x:v>1</x:v>
      </x:c>
      <x:c r="D19" s="31" t="n">
        <x:v>18</x:v>
      </x:c>
      <x:c r="E19" s="19" t="str">
        <x:v>Applied to founder + employee/contractor compensation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9" t="str">
        <x:v>iOS / product engineering</x:v>
      </x:c>
      <x:c r="B20" s="32" t="n">
        <x:v>12000</x:v>
      </x:c>
      <x:c r="C20" s="31" t="n">
        <x:v>4</x:v>
      </x:c>
      <x:c r="D20" s="31" t="n">
        <x:v>18</x:v>
      </x:c>
      <x:c r="E20" s="19" t="str">
        <x:v>Illustrative contractor or loaded employee cost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9" t="str">
        <x:v>Design and user research</x:v>
      </x:c>
      <x:c r="B21" s="32" t="n">
        <x:v>3000</x:v>
      </x:c>
      <x:c r="C21" s="31" t="n">
        <x:v>1</x:v>
      </x:c>
      <x:c r="D21" s="31" t="n">
        <x:v>9</x:v>
      </x:c>
      <x:c r="E21" s="19" t="str">
        <x:v>Includes participant compensation and focused design support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9" t="str">
        <x:v>Security and privacy review</x:v>
      </x:c>
      <x:c r="B22" s="32" t="n">
        <x:v>2500</x:v>
      </x:c>
      <x:c r="C22" s="31" t="n">
        <x:v>7</x:v>
      </x:c>
      <x:c r="D22" s="31" t="n">
        <x:v>12</x:v>
      </x:c>
      <x:c r="E22" s="19" t="str">
        <x:v>Specialist review and remediation support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9" t="str">
        <x:v>Cloud and model evaluation</x:v>
      </x:c>
      <x:c r="B23" s="32" t="n">
        <x:v>1200</x:v>
      </x:c>
      <x:c r="C23" s="31" t="n">
        <x:v>1</x:v>
      </x:c>
      <x:c r="D23" s="31" t="n">
        <x:v>18</x:v>
      </x:c>
      <x:c r="E23" s="19" t="str">
        <x:v>Model APIs, hosting, test workloads, monitoring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9" t="str">
        <x:v>Software and developer tools</x:v>
      </x:c>
      <x:c r="B24" s="32" t="n">
        <x:v>600</x:v>
      </x:c>
      <x:c r="C24" s="31" t="n">
        <x:v>1</x:v>
      </x:c>
      <x:c r="D24" s="31" t="n">
        <x:v>18</x:v>
      </x:c>
      <x:c r="E24" s="19" t="str">
        <x:v>Productivity, source control, testing, and design tools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9" t="str">
        <x:v>Insurance and accounting</x:v>
      </x:c>
      <x:c r="B25" s="32" t="n">
        <x:v>800</x:v>
      </x:c>
      <x:c r="C25" s="31" t="n">
        <x:v>2</x:v>
      </x:c>
      <x:c r="D25" s="31" t="n">
        <x:v>18</x:v>
      </x:c>
      <x:c r="E25" s="19" t="str">
        <x:v>Ongoing company administration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9" t="str">
        <x:v>Marketing and community</x:v>
      </x:c>
      <x:c r="B26" s="32" t="n">
        <x:v>1000</x:v>
      </x:c>
      <x:c r="C26" s="31" t="n">
        <x:v>7</x:v>
      </x:c>
      <x:c r="D26" s="31" t="n">
        <x:v>18</x:v>
      </x:c>
      <x:c r="E26" s="19" t="str">
        <x:v>Controlled beta recruitment and launch experiments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9"/>
      <x:c r="B27" s="19"/>
      <x:c r="C27" s="19"/>
      <x:c r="D27" s="19"/>
      <x:c r="E27" s="19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0" customHeight="1">
      <x:c r="A28" s="37" t="str">
        <x:v>One-Time Costs</x:v>
      </x:c>
      <x:c r="B28" s="37" t="str">
        <x:v>One-Time Costs</x:v>
      </x:c>
      <x:c r="C28" s="37" t="str">
        <x:v>One-Time Costs</x:v>
      </x:c>
      <x:c r="D28" s="37" t="str">
        <x:v>One-Time Costs</x:v>
      </x:c>
      <x:c r="E28" s="37" t="str">
        <x:v>One-Time Costs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38" t="str">
        <x:v>Cost driver</x:v>
      </x:c>
      <x:c r="B29" s="38" t="str">
        <x:v>Amount</x:v>
      </x:c>
      <x:c r="C29" s="38" t="str">
        <x:v>Month</x:v>
      </x:c>
      <x:c r="D29" s="38" t="str">
        <x:v>Status</x:v>
      </x:c>
      <x:c r="E29" s="38" t="str">
        <x:v>Notes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9" t="str">
        <x:v>Incorporation / financing legal</x:v>
      </x:c>
      <x:c r="B30" s="32" t="n">
        <x:v>12000</x:v>
      </x:c>
      <x:c r="C30" s="31" t="n">
        <x:v>1</x:v>
      </x:c>
      <x:c r="D30" s="31" t="str">
        <x:v>Replace</x:v>
      </x:c>
      <x:c r="E30" s="19" t="str">
        <x:v>Depends on current entity and financing instrument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9" t="str">
        <x:v>IP and contract cleanup</x:v>
      </x:c>
      <x:c r="B31" s="32" t="n">
        <x:v>5000</x:v>
      </x:c>
      <x:c r="C31" s="31" t="n">
        <x:v>1</x:v>
      </x:c>
      <x:c r="D31" s="31" t="str">
        <x:v>Replace</x:v>
      </x:c>
      <x:c r="E31" s="19" t="str">
        <x:v>Use only if assignments or prior work require review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9" t="str">
        <x:v>App Store / launch assets</x:v>
      </x:c>
      <x:c r="B32" s="32" t="n">
        <x:v>3000</x:v>
      </x:c>
      <x:c r="C32" s="31" t="n">
        <x:v>9</x:v>
      </x:c>
      <x:c r="D32" s="31" t="str">
        <x:v>Review</x:v>
      </x:c>
      <x:c r="E32" s="19" t="str">
        <x:v>Release preparation and product media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9" t="str">
        <x:v>Security testing</x:v>
      </x:c>
      <x:c r="B33" s="32" t="n">
        <x:v>8000</x:v>
      </x:c>
      <x:c r="C33" s="31" t="n">
        <x:v>11</x:v>
      </x:c>
      <x:c r="D33" s="31" t="str">
        <x:v>Review</x:v>
      </x:c>
      <x:c r="E33" s="19" t="str">
        <x:v>Focused external testing before broader beta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9" t="str">
        <x:v>Contingent recruiting</x:v>
      </x:c>
      <x:c r="B34" s="32" t="n">
        <x:v>5000</x:v>
      </x:c>
      <x:c r="C34" s="31" t="n">
        <x:v>4</x:v>
      </x:c>
      <x:c r="D34" s="31" t="str">
        <x:v>Review</x:v>
      </x:c>
      <x:c r="E34" s="19" t="str">
        <x:v>Candidate sourcing and contractor onboarding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1:E2"/>
    <x:mergeCell ref="A16:E16"/>
    <x:mergeCell ref="A28:E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</x:cols>
  <x:sheetData>
    <x:row r="1" ht="26" customHeight="1">
      <x:c r="A1" s="5" t="str">
        <x:v>Monthly Operating Model</x:v>
      </x:c>
      <x:c r="B1" s="5" t="str">
        <x:v>Monthly Operating Model</x:v>
      </x:c>
      <x:c r="C1" s="5" t="str">
        <x:v>Monthly Operating Model</x:v>
      </x:c>
      <x:c r="D1" s="5" t="str">
        <x:v>Monthly Operating Model</x:v>
      </x:c>
      <x:c r="E1" s="5" t="str">
        <x:v>Monthly Operating Model</x:v>
      </x:c>
      <x:c r="F1" s="5" t="str">
        <x:v>Monthly Operating Model</x:v>
      </x:c>
      <x:c r="G1" s="5" t="str">
        <x:v>Monthly Operating Model</x:v>
      </x:c>
      <x:c r="H1" s="5" t="str">
        <x:v>Monthly Operating Model</x:v>
      </x:c>
      <x:c r="I1" s="5" t="str">
        <x:v>Monthly Operating Model</x:v>
      </x:c>
      <x:c r="J1" s="5" t="str">
        <x:v>Monthly Operating Model</x:v>
      </x:c>
      <x:c r="K1" s="5" t="str">
        <x:v>Monthly Operating Model</x:v>
      </x:c>
      <x:c r="L1" s="5" t="str">
        <x:v>Monthly Operating Model</x:v>
      </x:c>
      <x:c r="M1" s="5" t="str">
        <x:v>Monthly Operating Model</x:v>
      </x:c>
      <x:c r="N1" s="5" t="str">
        <x:v>Monthly Operating Model</x:v>
      </x:c>
      <x:c r="O1" s="5" t="str">
        <x:v>Monthly Operating Model</x:v>
      </x:c>
      <x:c r="P1" s="5" t="str">
        <x:v>Monthly Operating Model</x:v>
      </x:c>
      <x:c r="Q1" s="5" t="str">
        <x:v>Monthly Operating Model</x:v>
      </x:c>
      <x:c r="R1" s="5" t="str">
        <x:v>Monthly Operating Model</x:v>
      </x:c>
      <x:c r="S1" s="5" t="str">
        <x:v>Monthly Operating Model</x:v>
      </x:c>
      <x:c r="T1" s="1"/>
      <x:c r="U1" s="1"/>
      <x:c r="V1" s="1"/>
      <x:c r="W1" s="1"/>
      <x:c r="X1" s="1"/>
      <x:c r="Y1" s="1"/>
      <x:c r="Z1" s="1"/>
    </x:row>
    <x:row r="2" ht="26" customHeight="1">
      <x:c r="A2" s="5" t="str">
        <x:v>Monthly Operating Model</x:v>
      </x:c>
      <x:c r="B2" s="5" t="str">
        <x:v>Monthly Operating Model</x:v>
      </x:c>
      <x:c r="C2" s="5" t="str">
        <x:v>Monthly Operating Model</x:v>
      </x:c>
      <x:c r="D2" s="5" t="str">
        <x:v>Monthly Operating Model</x:v>
      </x:c>
      <x:c r="E2" s="5" t="str">
        <x:v>Monthly Operating Model</x:v>
      </x:c>
      <x:c r="F2" s="5" t="str">
        <x:v>Monthly Operating Model</x:v>
      </x:c>
      <x:c r="G2" s="5" t="str">
        <x:v>Monthly Operating Model</x:v>
      </x:c>
      <x:c r="H2" s="5" t="str">
        <x:v>Monthly Operating Model</x:v>
      </x:c>
      <x:c r="I2" s="5" t="str">
        <x:v>Monthly Operating Model</x:v>
      </x:c>
      <x:c r="J2" s="5" t="str">
        <x:v>Monthly Operating Model</x:v>
      </x:c>
      <x:c r="K2" s="5" t="str">
        <x:v>Monthly Operating Model</x:v>
      </x:c>
      <x:c r="L2" s="5" t="str">
        <x:v>Monthly Operating Model</x:v>
      </x:c>
      <x:c r="M2" s="5" t="str">
        <x:v>Monthly Operating Model</x:v>
      </x:c>
      <x:c r="N2" s="5" t="str">
        <x:v>Monthly Operating Model</x:v>
      </x:c>
      <x:c r="O2" s="5" t="str">
        <x:v>Monthly Operating Model</x:v>
      </x:c>
      <x:c r="P2" s="5" t="str">
        <x:v>Monthly Operating Model</x:v>
      </x:c>
      <x:c r="Q2" s="5" t="str">
        <x:v>Monthly Operating Model</x:v>
      </x:c>
      <x:c r="R2" s="5" t="str">
        <x:v>Monthly Operating Model</x:v>
      </x:c>
      <x:c r="S2" s="5" t="str">
        <x:v>Monthly Operating Model</x:v>
      </x:c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39" t="str">
        <x:v>Monthly cash uses</x:v>
      </x:c>
      <x:c r="B4" s="40" t="n">
        <x:v>46204</x:v>
      </x:c>
      <x:c r="C4" s="40" t="n">
        <x:v>46235</x:v>
      </x:c>
      <x:c r="D4" s="40" t="n">
        <x:v>46266</x:v>
      </x:c>
      <x:c r="E4" s="40" t="n">
        <x:v>46296</x:v>
      </x:c>
      <x:c r="F4" s="40" t="n">
        <x:v>46327</x:v>
      </x:c>
      <x:c r="G4" s="40" t="n">
        <x:v>46357</x:v>
      </x:c>
      <x:c r="H4" s="40" t="n">
        <x:v>46388</x:v>
      </x:c>
      <x:c r="I4" s="40" t="n">
        <x:v>46419</x:v>
      </x:c>
      <x:c r="J4" s="40" t="n">
        <x:v>46447</x:v>
      </x:c>
      <x:c r="K4" s="40" t="n">
        <x:v>46478</x:v>
      </x:c>
      <x:c r="L4" s="40" t="n">
        <x:v>46508</x:v>
      </x:c>
      <x:c r="M4" s="40" t="n">
        <x:v>46539</x:v>
      </x:c>
      <x:c r="N4" s="40" t="n">
        <x:v>46569</x:v>
      </x:c>
      <x:c r="O4" s="40" t="n">
        <x:v>46600</x:v>
      </x:c>
      <x:c r="P4" s="40" t="n">
        <x:v>46631</x:v>
      </x:c>
      <x:c r="Q4" s="40" t="n">
        <x:v>46661</x:v>
      </x:c>
      <x:c r="R4" s="40" t="n">
        <x:v>46692</x:v>
      </x:c>
      <x:c r="S4" s="40" t="n">
        <x:v>46722</x:v>
      </x:c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Founder compensation</x:v>
      </x:c>
      <x:c r="B6" s="11" t="n">
        <x:f>IF(AND(COLUMN()-1&gt;='Assumptions'!$C$18,COLUMN()-1&lt;='Assumptions'!$D$18),'Assumptions'!$B$18,0)</x:f>
        <x:v>7000</x:v>
      </x:c>
      <x:c r="C6" s="11" t="n">
        <x:f>IF(AND(COLUMN()-1&gt;='Assumptions'!$C$18,COLUMN()-1&lt;='Assumptions'!$D$18),'Assumptions'!$B$18,0)</x:f>
        <x:v>7000</x:v>
      </x:c>
      <x:c r="D6" s="11" t="n">
        <x:f>IF(AND(COLUMN()-1&gt;='Assumptions'!$C$18,COLUMN()-1&lt;='Assumptions'!$D$18),'Assumptions'!$B$18,0)</x:f>
        <x:v>7000</x:v>
      </x:c>
      <x:c r="E6" s="11" t="n">
        <x:f>IF(AND(COLUMN()-1&gt;='Assumptions'!$C$18,COLUMN()-1&lt;='Assumptions'!$D$18),'Assumptions'!$B$18,0)</x:f>
        <x:v>7000</x:v>
      </x:c>
      <x:c r="F6" s="11" t="n">
        <x:f>IF(AND(COLUMN()-1&gt;='Assumptions'!$C$18,COLUMN()-1&lt;='Assumptions'!$D$18),'Assumptions'!$B$18,0)</x:f>
        <x:v>7000</x:v>
      </x:c>
      <x:c r="G6" s="11" t="n">
        <x:f>IF(AND(COLUMN()-1&gt;='Assumptions'!$C$18,COLUMN()-1&lt;='Assumptions'!$D$18),'Assumptions'!$B$18,0)</x:f>
        <x:v>7000</x:v>
      </x:c>
      <x:c r="H6" s="11" t="n">
        <x:f>IF(AND(COLUMN()-1&gt;='Assumptions'!$C$18,COLUMN()-1&lt;='Assumptions'!$D$18),'Assumptions'!$B$18,0)</x:f>
        <x:v>7000</x:v>
      </x:c>
      <x:c r="I6" s="11" t="n">
        <x:f>IF(AND(COLUMN()-1&gt;='Assumptions'!$C$18,COLUMN()-1&lt;='Assumptions'!$D$18),'Assumptions'!$B$18,0)</x:f>
        <x:v>7000</x:v>
      </x:c>
      <x:c r="J6" s="11" t="n">
        <x:f>IF(AND(COLUMN()-1&gt;='Assumptions'!$C$18,COLUMN()-1&lt;='Assumptions'!$D$18),'Assumptions'!$B$18,0)</x:f>
        <x:v>7000</x:v>
      </x:c>
      <x:c r="K6" s="11" t="n">
        <x:f>IF(AND(COLUMN()-1&gt;='Assumptions'!$C$18,COLUMN()-1&lt;='Assumptions'!$D$18),'Assumptions'!$B$18,0)</x:f>
        <x:v>7000</x:v>
      </x:c>
      <x:c r="L6" s="11" t="n">
        <x:f>IF(AND(COLUMN()-1&gt;='Assumptions'!$C$18,COLUMN()-1&lt;='Assumptions'!$D$18),'Assumptions'!$B$18,0)</x:f>
        <x:v>7000</x:v>
      </x:c>
      <x:c r="M6" s="11" t="n">
        <x:f>IF(AND(COLUMN()-1&gt;='Assumptions'!$C$18,COLUMN()-1&lt;='Assumptions'!$D$18),'Assumptions'!$B$18,0)</x:f>
        <x:v>7000</x:v>
      </x:c>
      <x:c r="N6" s="11" t="n">
        <x:f>IF(AND(COLUMN()-1&gt;='Assumptions'!$C$18,COLUMN()-1&lt;='Assumptions'!$D$18),'Assumptions'!$B$18,0)</x:f>
        <x:v>7000</x:v>
      </x:c>
      <x:c r="O6" s="11" t="n">
        <x:f>IF(AND(COLUMN()-1&gt;='Assumptions'!$C$18,COLUMN()-1&lt;='Assumptions'!$D$18),'Assumptions'!$B$18,0)</x:f>
        <x:v>7000</x:v>
      </x:c>
      <x:c r="P6" s="11" t="n">
        <x:f>IF(AND(COLUMN()-1&gt;='Assumptions'!$C$18,COLUMN()-1&lt;='Assumptions'!$D$18),'Assumptions'!$B$18,0)</x:f>
        <x:v>7000</x:v>
      </x:c>
      <x:c r="Q6" s="11" t="n">
        <x:f>IF(AND(COLUMN()-1&gt;='Assumptions'!$C$18,COLUMN()-1&lt;='Assumptions'!$D$18),'Assumptions'!$B$18,0)</x:f>
        <x:v>7000</x:v>
      </x:c>
      <x:c r="R6" s="11" t="n">
        <x:f>IF(AND(COLUMN()-1&gt;='Assumptions'!$C$18,COLUMN()-1&lt;='Assumptions'!$D$18),'Assumptions'!$B$18,0)</x:f>
        <x:v>7000</x:v>
      </x:c>
      <x:c r="S6" s="11" t="n">
        <x:f>IF(AND(COLUMN()-1&gt;='Assumptions'!$C$18,COLUMN()-1&lt;='Assumptions'!$D$18),'Assumptions'!$B$18,0)</x:f>
        <x:v>7000</x:v>
      </x:c>
      <x:c r="T6" s="1"/>
      <x:c r="U6" s="1"/>
      <x:c r="V6" s="1"/>
      <x:c r="W6" s="1"/>
      <x:c r="X6" s="1"/>
      <x:c r="Y6" s="1"/>
      <x:c r="Z6" s="1"/>
    </x:row>
    <x:row r="7">
      <x:c r="A7" s="1" t="str">
        <x:v>iOS / product engineering</x:v>
      </x:c>
      <x:c r="B7" s="11" t="n">
        <x:f>IF(AND(COLUMN()-1&gt;='Assumptions'!$C$20,COLUMN()-1&lt;='Assumptions'!$D$20),'Assumptions'!$B$20,0)</x:f>
        <x:v>0</x:v>
      </x:c>
      <x:c r="C7" s="11" t="n">
        <x:f>IF(AND(COLUMN()-1&gt;='Assumptions'!$C$20,COLUMN()-1&lt;='Assumptions'!$D$20),'Assumptions'!$B$20,0)</x:f>
        <x:v>0</x:v>
      </x:c>
      <x:c r="D7" s="11" t="n">
        <x:f>IF(AND(COLUMN()-1&gt;='Assumptions'!$C$20,COLUMN()-1&lt;='Assumptions'!$D$20),'Assumptions'!$B$20,0)</x:f>
        <x:v>0</x:v>
      </x:c>
      <x:c r="E7" s="11" t="n">
        <x:f>IF(AND(COLUMN()-1&gt;='Assumptions'!$C$20,COLUMN()-1&lt;='Assumptions'!$D$20),'Assumptions'!$B$20,0)</x:f>
        <x:v>12000</x:v>
      </x:c>
      <x:c r="F7" s="11" t="n">
        <x:f>IF(AND(COLUMN()-1&gt;='Assumptions'!$C$20,COLUMN()-1&lt;='Assumptions'!$D$20),'Assumptions'!$B$20,0)</x:f>
        <x:v>12000</x:v>
      </x:c>
      <x:c r="G7" s="11" t="n">
        <x:f>IF(AND(COLUMN()-1&gt;='Assumptions'!$C$20,COLUMN()-1&lt;='Assumptions'!$D$20),'Assumptions'!$B$20,0)</x:f>
        <x:v>12000</x:v>
      </x:c>
      <x:c r="H7" s="11" t="n">
        <x:f>IF(AND(COLUMN()-1&gt;='Assumptions'!$C$20,COLUMN()-1&lt;='Assumptions'!$D$20),'Assumptions'!$B$20,0)</x:f>
        <x:v>12000</x:v>
      </x:c>
      <x:c r="I7" s="11" t="n">
        <x:f>IF(AND(COLUMN()-1&gt;='Assumptions'!$C$20,COLUMN()-1&lt;='Assumptions'!$D$20),'Assumptions'!$B$20,0)</x:f>
        <x:v>12000</x:v>
      </x:c>
      <x:c r="J7" s="11" t="n">
        <x:f>IF(AND(COLUMN()-1&gt;='Assumptions'!$C$20,COLUMN()-1&lt;='Assumptions'!$D$20),'Assumptions'!$B$20,0)</x:f>
        <x:v>12000</x:v>
      </x:c>
      <x:c r="K7" s="11" t="n">
        <x:f>IF(AND(COLUMN()-1&gt;='Assumptions'!$C$20,COLUMN()-1&lt;='Assumptions'!$D$20),'Assumptions'!$B$20,0)</x:f>
        <x:v>12000</x:v>
      </x:c>
      <x:c r="L7" s="11" t="n">
        <x:f>IF(AND(COLUMN()-1&gt;='Assumptions'!$C$20,COLUMN()-1&lt;='Assumptions'!$D$20),'Assumptions'!$B$20,0)</x:f>
        <x:v>12000</x:v>
      </x:c>
      <x:c r="M7" s="11" t="n">
        <x:f>IF(AND(COLUMN()-1&gt;='Assumptions'!$C$20,COLUMN()-1&lt;='Assumptions'!$D$20),'Assumptions'!$B$20,0)</x:f>
        <x:v>12000</x:v>
      </x:c>
      <x:c r="N7" s="11" t="n">
        <x:f>IF(AND(COLUMN()-1&gt;='Assumptions'!$C$20,COLUMN()-1&lt;='Assumptions'!$D$20),'Assumptions'!$B$20,0)</x:f>
        <x:v>12000</x:v>
      </x:c>
      <x:c r="O7" s="11" t="n">
        <x:f>IF(AND(COLUMN()-1&gt;='Assumptions'!$C$20,COLUMN()-1&lt;='Assumptions'!$D$20),'Assumptions'!$B$20,0)</x:f>
        <x:v>12000</x:v>
      </x:c>
      <x:c r="P7" s="11" t="n">
        <x:f>IF(AND(COLUMN()-1&gt;='Assumptions'!$C$20,COLUMN()-1&lt;='Assumptions'!$D$20),'Assumptions'!$B$20,0)</x:f>
        <x:v>12000</x:v>
      </x:c>
      <x:c r="Q7" s="11" t="n">
        <x:f>IF(AND(COLUMN()-1&gt;='Assumptions'!$C$20,COLUMN()-1&lt;='Assumptions'!$D$20),'Assumptions'!$B$20,0)</x:f>
        <x:v>12000</x:v>
      </x:c>
      <x:c r="R7" s="11" t="n">
        <x:f>IF(AND(COLUMN()-1&gt;='Assumptions'!$C$20,COLUMN()-1&lt;='Assumptions'!$D$20),'Assumptions'!$B$20,0)</x:f>
        <x:v>12000</x:v>
      </x:c>
      <x:c r="S7" s="11" t="n">
        <x:f>IF(AND(COLUMN()-1&gt;='Assumptions'!$C$20,COLUMN()-1&lt;='Assumptions'!$D$20),'Assumptions'!$B$20,0)</x:f>
        <x:v>12000</x:v>
      </x:c>
      <x:c r="T7" s="1"/>
      <x:c r="U7" s="1"/>
      <x:c r="V7" s="1"/>
      <x:c r="W7" s="1"/>
      <x:c r="X7" s="1"/>
      <x:c r="Y7" s="1"/>
      <x:c r="Z7" s="1"/>
    </x:row>
    <x:row r="8">
      <x:c r="A8" s="1" t="str">
        <x:v>Design and user research</x:v>
      </x:c>
      <x:c r="B8" s="11" t="n">
        <x:f>IF(AND(COLUMN()-1&gt;='Assumptions'!$C$21,COLUMN()-1&lt;='Assumptions'!$D$21),'Assumptions'!$B$21,0)</x:f>
        <x:v>3000</x:v>
      </x:c>
      <x:c r="C8" s="11" t="n">
        <x:f>IF(AND(COLUMN()-1&gt;='Assumptions'!$C$21,COLUMN()-1&lt;='Assumptions'!$D$21),'Assumptions'!$B$21,0)</x:f>
        <x:v>3000</x:v>
      </x:c>
      <x:c r="D8" s="11" t="n">
        <x:f>IF(AND(COLUMN()-1&gt;='Assumptions'!$C$21,COLUMN()-1&lt;='Assumptions'!$D$21),'Assumptions'!$B$21,0)</x:f>
        <x:v>3000</x:v>
      </x:c>
      <x:c r="E8" s="11" t="n">
        <x:f>IF(AND(COLUMN()-1&gt;='Assumptions'!$C$21,COLUMN()-1&lt;='Assumptions'!$D$21),'Assumptions'!$B$21,0)</x:f>
        <x:v>3000</x:v>
      </x:c>
      <x:c r="F8" s="11" t="n">
        <x:f>IF(AND(COLUMN()-1&gt;='Assumptions'!$C$21,COLUMN()-1&lt;='Assumptions'!$D$21),'Assumptions'!$B$21,0)</x:f>
        <x:v>3000</x:v>
      </x:c>
      <x:c r="G8" s="11" t="n">
        <x:f>IF(AND(COLUMN()-1&gt;='Assumptions'!$C$21,COLUMN()-1&lt;='Assumptions'!$D$21),'Assumptions'!$B$21,0)</x:f>
        <x:v>3000</x:v>
      </x:c>
      <x:c r="H8" s="11" t="n">
        <x:f>IF(AND(COLUMN()-1&gt;='Assumptions'!$C$21,COLUMN()-1&lt;='Assumptions'!$D$21),'Assumptions'!$B$21,0)</x:f>
        <x:v>3000</x:v>
      </x:c>
      <x:c r="I8" s="11" t="n">
        <x:f>IF(AND(COLUMN()-1&gt;='Assumptions'!$C$21,COLUMN()-1&lt;='Assumptions'!$D$21),'Assumptions'!$B$21,0)</x:f>
        <x:v>3000</x:v>
      </x:c>
      <x:c r="J8" s="11" t="n">
        <x:f>IF(AND(COLUMN()-1&gt;='Assumptions'!$C$21,COLUMN()-1&lt;='Assumptions'!$D$21),'Assumptions'!$B$21,0)</x:f>
        <x:v>3000</x:v>
      </x:c>
      <x:c r="K8" s="11" t="n">
        <x:f>IF(AND(COLUMN()-1&gt;='Assumptions'!$C$21,COLUMN()-1&lt;='Assumptions'!$D$21),'Assumptions'!$B$21,0)</x:f>
        <x:v>0</x:v>
      </x:c>
      <x:c r="L8" s="11" t="n">
        <x:f>IF(AND(COLUMN()-1&gt;='Assumptions'!$C$21,COLUMN()-1&lt;='Assumptions'!$D$21),'Assumptions'!$B$21,0)</x:f>
        <x:v>0</x:v>
      </x:c>
      <x:c r="M8" s="11" t="n">
        <x:f>IF(AND(COLUMN()-1&gt;='Assumptions'!$C$21,COLUMN()-1&lt;='Assumptions'!$D$21),'Assumptions'!$B$21,0)</x:f>
        <x:v>0</x:v>
      </x:c>
      <x:c r="N8" s="11" t="n">
        <x:f>IF(AND(COLUMN()-1&gt;='Assumptions'!$C$21,COLUMN()-1&lt;='Assumptions'!$D$21),'Assumptions'!$B$21,0)</x:f>
        <x:v>0</x:v>
      </x:c>
      <x:c r="O8" s="11" t="n">
        <x:f>IF(AND(COLUMN()-1&gt;='Assumptions'!$C$21,COLUMN()-1&lt;='Assumptions'!$D$21),'Assumptions'!$B$21,0)</x:f>
        <x:v>0</x:v>
      </x:c>
      <x:c r="P8" s="11" t="n">
        <x:f>IF(AND(COLUMN()-1&gt;='Assumptions'!$C$21,COLUMN()-1&lt;='Assumptions'!$D$21),'Assumptions'!$B$21,0)</x:f>
        <x:v>0</x:v>
      </x:c>
      <x:c r="Q8" s="11" t="n">
        <x:f>IF(AND(COLUMN()-1&gt;='Assumptions'!$C$21,COLUMN()-1&lt;='Assumptions'!$D$21),'Assumptions'!$B$21,0)</x:f>
        <x:v>0</x:v>
      </x:c>
      <x:c r="R8" s="11" t="n">
        <x:f>IF(AND(COLUMN()-1&gt;='Assumptions'!$C$21,COLUMN()-1&lt;='Assumptions'!$D$21),'Assumptions'!$B$21,0)</x:f>
        <x:v>0</x:v>
      </x:c>
      <x:c r="S8" s="11" t="n">
        <x:f>IF(AND(COLUMN()-1&gt;='Assumptions'!$C$21,COLUMN()-1&lt;='Assumptions'!$D$21),'Assumptions'!$B$21,0)</x:f>
        <x:v>0</x:v>
      </x:c>
      <x:c r="T8" s="1"/>
      <x:c r="U8" s="1"/>
      <x:c r="V8" s="1"/>
      <x:c r="W8" s="1"/>
      <x:c r="X8" s="1"/>
      <x:c r="Y8" s="1"/>
      <x:c r="Z8" s="1"/>
    </x:row>
    <x:row r="9">
      <x:c r="A9" s="1" t="str">
        <x:v>Security and privacy review</x:v>
      </x:c>
      <x:c r="B9" s="11" t="n">
        <x:f>IF(AND(COLUMN()-1&gt;='Assumptions'!$C$22,COLUMN()-1&lt;='Assumptions'!$D$22),'Assumptions'!$B$22,0)</x:f>
        <x:v>0</x:v>
      </x:c>
      <x:c r="C9" s="11" t="n">
        <x:f>IF(AND(COLUMN()-1&gt;='Assumptions'!$C$22,COLUMN()-1&lt;='Assumptions'!$D$22),'Assumptions'!$B$22,0)</x:f>
        <x:v>0</x:v>
      </x:c>
      <x:c r="D9" s="11" t="n">
        <x:f>IF(AND(COLUMN()-1&gt;='Assumptions'!$C$22,COLUMN()-1&lt;='Assumptions'!$D$22),'Assumptions'!$B$22,0)</x:f>
        <x:v>0</x:v>
      </x:c>
      <x:c r="E9" s="11" t="n">
        <x:f>IF(AND(COLUMN()-1&gt;='Assumptions'!$C$22,COLUMN()-1&lt;='Assumptions'!$D$22),'Assumptions'!$B$22,0)</x:f>
        <x:v>0</x:v>
      </x:c>
      <x:c r="F9" s="11" t="n">
        <x:f>IF(AND(COLUMN()-1&gt;='Assumptions'!$C$22,COLUMN()-1&lt;='Assumptions'!$D$22),'Assumptions'!$B$22,0)</x:f>
        <x:v>0</x:v>
      </x:c>
      <x:c r="G9" s="11" t="n">
        <x:f>IF(AND(COLUMN()-1&gt;='Assumptions'!$C$22,COLUMN()-1&lt;='Assumptions'!$D$22),'Assumptions'!$B$22,0)</x:f>
        <x:v>0</x:v>
      </x:c>
      <x:c r="H9" s="11" t="n">
        <x:f>IF(AND(COLUMN()-1&gt;='Assumptions'!$C$22,COLUMN()-1&lt;='Assumptions'!$D$22),'Assumptions'!$B$22,0)</x:f>
        <x:v>2500</x:v>
      </x:c>
      <x:c r="I9" s="11" t="n">
        <x:f>IF(AND(COLUMN()-1&gt;='Assumptions'!$C$22,COLUMN()-1&lt;='Assumptions'!$D$22),'Assumptions'!$B$22,0)</x:f>
        <x:v>2500</x:v>
      </x:c>
      <x:c r="J9" s="11" t="n">
        <x:f>IF(AND(COLUMN()-1&gt;='Assumptions'!$C$22,COLUMN()-1&lt;='Assumptions'!$D$22),'Assumptions'!$B$22,0)</x:f>
        <x:v>2500</x:v>
      </x:c>
      <x:c r="K9" s="11" t="n">
        <x:f>IF(AND(COLUMN()-1&gt;='Assumptions'!$C$22,COLUMN()-1&lt;='Assumptions'!$D$22),'Assumptions'!$B$22,0)</x:f>
        <x:v>2500</x:v>
      </x:c>
      <x:c r="L9" s="11" t="n">
        <x:f>IF(AND(COLUMN()-1&gt;='Assumptions'!$C$22,COLUMN()-1&lt;='Assumptions'!$D$22),'Assumptions'!$B$22,0)</x:f>
        <x:v>2500</x:v>
      </x:c>
      <x:c r="M9" s="11" t="n">
        <x:f>IF(AND(COLUMN()-1&gt;='Assumptions'!$C$22,COLUMN()-1&lt;='Assumptions'!$D$22),'Assumptions'!$B$22,0)</x:f>
        <x:v>2500</x:v>
      </x:c>
      <x:c r="N9" s="11" t="n">
        <x:f>IF(AND(COLUMN()-1&gt;='Assumptions'!$C$22,COLUMN()-1&lt;='Assumptions'!$D$22),'Assumptions'!$B$22,0)</x:f>
        <x:v>0</x:v>
      </x:c>
      <x:c r="O9" s="11" t="n">
        <x:f>IF(AND(COLUMN()-1&gt;='Assumptions'!$C$22,COLUMN()-1&lt;='Assumptions'!$D$22),'Assumptions'!$B$22,0)</x:f>
        <x:v>0</x:v>
      </x:c>
      <x:c r="P9" s="11" t="n">
        <x:f>IF(AND(COLUMN()-1&gt;='Assumptions'!$C$22,COLUMN()-1&lt;='Assumptions'!$D$22),'Assumptions'!$B$22,0)</x:f>
        <x:v>0</x:v>
      </x:c>
      <x:c r="Q9" s="11" t="n">
        <x:f>IF(AND(COLUMN()-1&gt;='Assumptions'!$C$22,COLUMN()-1&lt;='Assumptions'!$D$22),'Assumptions'!$B$22,0)</x:f>
        <x:v>0</x:v>
      </x:c>
      <x:c r="R9" s="11" t="n">
        <x:f>IF(AND(COLUMN()-1&gt;='Assumptions'!$C$22,COLUMN()-1&lt;='Assumptions'!$D$22),'Assumptions'!$B$22,0)</x:f>
        <x:v>0</x:v>
      </x:c>
      <x:c r="S9" s="11" t="n">
        <x:f>IF(AND(COLUMN()-1&gt;='Assumptions'!$C$22,COLUMN()-1&lt;='Assumptions'!$D$22),'Assumptions'!$B$22,0)</x:f>
        <x:v>0</x:v>
      </x:c>
      <x:c r="T9" s="1"/>
      <x:c r="U9" s="1"/>
      <x:c r="V9" s="1"/>
      <x:c r="W9" s="1"/>
      <x:c r="X9" s="1"/>
      <x:c r="Y9" s="1"/>
      <x:c r="Z9" s="1"/>
    </x:row>
    <x:row r="10">
      <x:c r="A10" s="1" t="str">
        <x:v>Cloud and model evaluation</x:v>
      </x:c>
      <x:c r="B10" s="11" t="n">
        <x:f>IF(AND(COLUMN()-1&gt;='Assumptions'!$C$23,COLUMN()-1&lt;='Assumptions'!$D$23),'Assumptions'!$B$23,0)</x:f>
        <x:v>1200</x:v>
      </x:c>
      <x:c r="C10" s="11" t="n">
        <x:f>IF(AND(COLUMN()-1&gt;='Assumptions'!$C$23,COLUMN()-1&lt;='Assumptions'!$D$23),'Assumptions'!$B$23,0)</x:f>
        <x:v>1200</x:v>
      </x:c>
      <x:c r="D10" s="11" t="n">
        <x:f>IF(AND(COLUMN()-1&gt;='Assumptions'!$C$23,COLUMN()-1&lt;='Assumptions'!$D$23),'Assumptions'!$B$23,0)</x:f>
        <x:v>1200</x:v>
      </x:c>
      <x:c r="E10" s="11" t="n">
        <x:f>IF(AND(COLUMN()-1&gt;='Assumptions'!$C$23,COLUMN()-1&lt;='Assumptions'!$D$23),'Assumptions'!$B$23,0)</x:f>
        <x:v>1200</x:v>
      </x:c>
      <x:c r="F10" s="11" t="n">
        <x:f>IF(AND(COLUMN()-1&gt;='Assumptions'!$C$23,COLUMN()-1&lt;='Assumptions'!$D$23),'Assumptions'!$B$23,0)</x:f>
        <x:v>1200</x:v>
      </x:c>
      <x:c r="G10" s="11" t="n">
        <x:f>IF(AND(COLUMN()-1&gt;='Assumptions'!$C$23,COLUMN()-1&lt;='Assumptions'!$D$23),'Assumptions'!$B$23,0)</x:f>
        <x:v>1200</x:v>
      </x:c>
      <x:c r="H10" s="11" t="n">
        <x:f>IF(AND(COLUMN()-1&gt;='Assumptions'!$C$23,COLUMN()-1&lt;='Assumptions'!$D$23),'Assumptions'!$B$23,0)</x:f>
        <x:v>1200</x:v>
      </x:c>
      <x:c r="I10" s="11" t="n">
        <x:f>IF(AND(COLUMN()-1&gt;='Assumptions'!$C$23,COLUMN()-1&lt;='Assumptions'!$D$23),'Assumptions'!$B$23,0)</x:f>
        <x:v>1200</x:v>
      </x:c>
      <x:c r="J10" s="11" t="n">
        <x:f>IF(AND(COLUMN()-1&gt;='Assumptions'!$C$23,COLUMN()-1&lt;='Assumptions'!$D$23),'Assumptions'!$B$23,0)</x:f>
        <x:v>1200</x:v>
      </x:c>
      <x:c r="K10" s="11" t="n">
        <x:f>IF(AND(COLUMN()-1&gt;='Assumptions'!$C$23,COLUMN()-1&lt;='Assumptions'!$D$23),'Assumptions'!$B$23,0)</x:f>
        <x:v>1200</x:v>
      </x:c>
      <x:c r="L10" s="11" t="n">
        <x:f>IF(AND(COLUMN()-1&gt;='Assumptions'!$C$23,COLUMN()-1&lt;='Assumptions'!$D$23),'Assumptions'!$B$23,0)</x:f>
        <x:v>1200</x:v>
      </x:c>
      <x:c r="M10" s="11" t="n">
        <x:f>IF(AND(COLUMN()-1&gt;='Assumptions'!$C$23,COLUMN()-1&lt;='Assumptions'!$D$23),'Assumptions'!$B$23,0)</x:f>
        <x:v>1200</x:v>
      </x:c>
      <x:c r="N10" s="11" t="n">
        <x:f>IF(AND(COLUMN()-1&gt;='Assumptions'!$C$23,COLUMN()-1&lt;='Assumptions'!$D$23),'Assumptions'!$B$23,0)</x:f>
        <x:v>1200</x:v>
      </x:c>
      <x:c r="O10" s="11" t="n">
        <x:f>IF(AND(COLUMN()-1&gt;='Assumptions'!$C$23,COLUMN()-1&lt;='Assumptions'!$D$23),'Assumptions'!$B$23,0)</x:f>
        <x:v>1200</x:v>
      </x:c>
      <x:c r="P10" s="11" t="n">
        <x:f>IF(AND(COLUMN()-1&gt;='Assumptions'!$C$23,COLUMN()-1&lt;='Assumptions'!$D$23),'Assumptions'!$B$23,0)</x:f>
        <x:v>1200</x:v>
      </x:c>
      <x:c r="Q10" s="11" t="n">
        <x:f>IF(AND(COLUMN()-1&gt;='Assumptions'!$C$23,COLUMN()-1&lt;='Assumptions'!$D$23),'Assumptions'!$B$23,0)</x:f>
        <x:v>1200</x:v>
      </x:c>
      <x:c r="R10" s="11" t="n">
        <x:f>IF(AND(COLUMN()-1&gt;='Assumptions'!$C$23,COLUMN()-1&lt;='Assumptions'!$D$23),'Assumptions'!$B$23,0)</x:f>
        <x:v>1200</x:v>
      </x:c>
      <x:c r="S10" s="11" t="n">
        <x:f>IF(AND(COLUMN()-1&gt;='Assumptions'!$C$23,COLUMN()-1&lt;='Assumptions'!$D$23),'Assumptions'!$B$23,0)</x:f>
        <x:v>1200</x:v>
      </x:c>
      <x:c r="T10" s="1"/>
      <x:c r="U10" s="1"/>
      <x:c r="V10" s="1"/>
      <x:c r="W10" s="1"/>
      <x:c r="X10" s="1"/>
      <x:c r="Y10" s="1"/>
      <x:c r="Z10" s="1"/>
    </x:row>
    <x:row r="11">
      <x:c r="A11" s="1" t="str">
        <x:v>Software and developer tools</x:v>
      </x:c>
      <x:c r="B11" s="11" t="n">
        <x:f>IF(AND(COLUMN()-1&gt;='Assumptions'!$C$24,COLUMN()-1&lt;='Assumptions'!$D$24),'Assumptions'!$B$24,0)</x:f>
        <x:v>600</x:v>
      </x:c>
      <x:c r="C11" s="11" t="n">
        <x:f>IF(AND(COLUMN()-1&gt;='Assumptions'!$C$24,COLUMN()-1&lt;='Assumptions'!$D$24),'Assumptions'!$B$24,0)</x:f>
        <x:v>600</x:v>
      </x:c>
      <x:c r="D11" s="11" t="n">
        <x:f>IF(AND(COLUMN()-1&gt;='Assumptions'!$C$24,COLUMN()-1&lt;='Assumptions'!$D$24),'Assumptions'!$B$24,0)</x:f>
        <x:v>600</x:v>
      </x:c>
      <x:c r="E11" s="11" t="n">
        <x:f>IF(AND(COLUMN()-1&gt;='Assumptions'!$C$24,COLUMN()-1&lt;='Assumptions'!$D$24),'Assumptions'!$B$24,0)</x:f>
        <x:v>600</x:v>
      </x:c>
      <x:c r="F11" s="11" t="n">
        <x:f>IF(AND(COLUMN()-1&gt;='Assumptions'!$C$24,COLUMN()-1&lt;='Assumptions'!$D$24),'Assumptions'!$B$24,0)</x:f>
        <x:v>600</x:v>
      </x:c>
      <x:c r="G11" s="11" t="n">
        <x:f>IF(AND(COLUMN()-1&gt;='Assumptions'!$C$24,COLUMN()-1&lt;='Assumptions'!$D$24),'Assumptions'!$B$24,0)</x:f>
        <x:v>600</x:v>
      </x:c>
      <x:c r="H11" s="11" t="n">
        <x:f>IF(AND(COLUMN()-1&gt;='Assumptions'!$C$24,COLUMN()-1&lt;='Assumptions'!$D$24),'Assumptions'!$B$24,0)</x:f>
        <x:v>600</x:v>
      </x:c>
      <x:c r="I11" s="11" t="n">
        <x:f>IF(AND(COLUMN()-1&gt;='Assumptions'!$C$24,COLUMN()-1&lt;='Assumptions'!$D$24),'Assumptions'!$B$24,0)</x:f>
        <x:v>600</x:v>
      </x:c>
      <x:c r="J11" s="11" t="n">
        <x:f>IF(AND(COLUMN()-1&gt;='Assumptions'!$C$24,COLUMN()-1&lt;='Assumptions'!$D$24),'Assumptions'!$B$24,0)</x:f>
        <x:v>600</x:v>
      </x:c>
      <x:c r="K11" s="11" t="n">
        <x:f>IF(AND(COLUMN()-1&gt;='Assumptions'!$C$24,COLUMN()-1&lt;='Assumptions'!$D$24),'Assumptions'!$B$24,0)</x:f>
        <x:v>600</x:v>
      </x:c>
      <x:c r="L11" s="11" t="n">
        <x:f>IF(AND(COLUMN()-1&gt;='Assumptions'!$C$24,COLUMN()-1&lt;='Assumptions'!$D$24),'Assumptions'!$B$24,0)</x:f>
        <x:v>600</x:v>
      </x:c>
      <x:c r="M11" s="11" t="n">
        <x:f>IF(AND(COLUMN()-1&gt;='Assumptions'!$C$24,COLUMN()-1&lt;='Assumptions'!$D$24),'Assumptions'!$B$24,0)</x:f>
        <x:v>600</x:v>
      </x:c>
      <x:c r="N11" s="11" t="n">
        <x:f>IF(AND(COLUMN()-1&gt;='Assumptions'!$C$24,COLUMN()-1&lt;='Assumptions'!$D$24),'Assumptions'!$B$24,0)</x:f>
        <x:v>600</x:v>
      </x:c>
      <x:c r="O11" s="11" t="n">
        <x:f>IF(AND(COLUMN()-1&gt;='Assumptions'!$C$24,COLUMN()-1&lt;='Assumptions'!$D$24),'Assumptions'!$B$24,0)</x:f>
        <x:v>600</x:v>
      </x:c>
      <x:c r="P11" s="11" t="n">
        <x:f>IF(AND(COLUMN()-1&gt;='Assumptions'!$C$24,COLUMN()-1&lt;='Assumptions'!$D$24),'Assumptions'!$B$24,0)</x:f>
        <x:v>600</x:v>
      </x:c>
      <x:c r="Q11" s="11" t="n">
        <x:f>IF(AND(COLUMN()-1&gt;='Assumptions'!$C$24,COLUMN()-1&lt;='Assumptions'!$D$24),'Assumptions'!$B$24,0)</x:f>
        <x:v>600</x:v>
      </x:c>
      <x:c r="R11" s="11" t="n">
        <x:f>IF(AND(COLUMN()-1&gt;='Assumptions'!$C$24,COLUMN()-1&lt;='Assumptions'!$D$24),'Assumptions'!$B$24,0)</x:f>
        <x:v>600</x:v>
      </x:c>
      <x:c r="S11" s="11" t="n">
        <x:f>IF(AND(COLUMN()-1&gt;='Assumptions'!$C$24,COLUMN()-1&lt;='Assumptions'!$D$24),'Assumptions'!$B$24,0)</x:f>
        <x:v>600</x:v>
      </x:c>
      <x:c r="T11" s="1"/>
      <x:c r="U11" s="1"/>
      <x:c r="V11" s="1"/>
      <x:c r="W11" s="1"/>
      <x:c r="X11" s="1"/>
      <x:c r="Y11" s="1"/>
      <x:c r="Z11" s="1"/>
    </x:row>
    <x:row r="12">
      <x:c r="A12" s="1" t="str">
        <x:v>Insurance and accounting</x:v>
      </x:c>
      <x:c r="B12" s="11" t="n">
        <x:f>IF(AND(COLUMN()-1&gt;='Assumptions'!$C$25,COLUMN()-1&lt;='Assumptions'!$D$25),'Assumptions'!$B$25,0)</x:f>
        <x:v>0</x:v>
      </x:c>
      <x:c r="C12" s="11" t="n">
        <x:f>IF(AND(COLUMN()-1&gt;='Assumptions'!$C$25,COLUMN()-1&lt;='Assumptions'!$D$25),'Assumptions'!$B$25,0)</x:f>
        <x:v>800</x:v>
      </x:c>
      <x:c r="D12" s="11" t="n">
        <x:f>IF(AND(COLUMN()-1&gt;='Assumptions'!$C$25,COLUMN()-1&lt;='Assumptions'!$D$25),'Assumptions'!$B$25,0)</x:f>
        <x:v>800</x:v>
      </x:c>
      <x:c r="E12" s="11" t="n">
        <x:f>IF(AND(COLUMN()-1&gt;='Assumptions'!$C$25,COLUMN()-1&lt;='Assumptions'!$D$25),'Assumptions'!$B$25,0)</x:f>
        <x:v>800</x:v>
      </x:c>
      <x:c r="F12" s="11" t="n">
        <x:f>IF(AND(COLUMN()-1&gt;='Assumptions'!$C$25,COLUMN()-1&lt;='Assumptions'!$D$25),'Assumptions'!$B$25,0)</x:f>
        <x:v>800</x:v>
      </x:c>
      <x:c r="G12" s="11" t="n">
        <x:f>IF(AND(COLUMN()-1&gt;='Assumptions'!$C$25,COLUMN()-1&lt;='Assumptions'!$D$25),'Assumptions'!$B$25,0)</x:f>
        <x:v>800</x:v>
      </x:c>
      <x:c r="H12" s="11" t="n">
        <x:f>IF(AND(COLUMN()-1&gt;='Assumptions'!$C$25,COLUMN()-1&lt;='Assumptions'!$D$25),'Assumptions'!$B$25,0)</x:f>
        <x:v>800</x:v>
      </x:c>
      <x:c r="I12" s="11" t="n">
        <x:f>IF(AND(COLUMN()-1&gt;='Assumptions'!$C$25,COLUMN()-1&lt;='Assumptions'!$D$25),'Assumptions'!$B$25,0)</x:f>
        <x:v>800</x:v>
      </x:c>
      <x:c r="J12" s="11" t="n">
        <x:f>IF(AND(COLUMN()-1&gt;='Assumptions'!$C$25,COLUMN()-1&lt;='Assumptions'!$D$25),'Assumptions'!$B$25,0)</x:f>
        <x:v>800</x:v>
      </x:c>
      <x:c r="K12" s="11" t="n">
        <x:f>IF(AND(COLUMN()-1&gt;='Assumptions'!$C$25,COLUMN()-1&lt;='Assumptions'!$D$25),'Assumptions'!$B$25,0)</x:f>
        <x:v>800</x:v>
      </x:c>
      <x:c r="L12" s="11" t="n">
        <x:f>IF(AND(COLUMN()-1&gt;='Assumptions'!$C$25,COLUMN()-1&lt;='Assumptions'!$D$25),'Assumptions'!$B$25,0)</x:f>
        <x:v>800</x:v>
      </x:c>
      <x:c r="M12" s="11" t="n">
        <x:f>IF(AND(COLUMN()-1&gt;='Assumptions'!$C$25,COLUMN()-1&lt;='Assumptions'!$D$25),'Assumptions'!$B$25,0)</x:f>
        <x:v>800</x:v>
      </x:c>
      <x:c r="N12" s="11" t="n">
        <x:f>IF(AND(COLUMN()-1&gt;='Assumptions'!$C$25,COLUMN()-1&lt;='Assumptions'!$D$25),'Assumptions'!$B$25,0)</x:f>
        <x:v>800</x:v>
      </x:c>
      <x:c r="O12" s="11" t="n">
        <x:f>IF(AND(COLUMN()-1&gt;='Assumptions'!$C$25,COLUMN()-1&lt;='Assumptions'!$D$25),'Assumptions'!$B$25,0)</x:f>
        <x:v>800</x:v>
      </x:c>
      <x:c r="P12" s="11" t="n">
        <x:f>IF(AND(COLUMN()-1&gt;='Assumptions'!$C$25,COLUMN()-1&lt;='Assumptions'!$D$25),'Assumptions'!$B$25,0)</x:f>
        <x:v>800</x:v>
      </x:c>
      <x:c r="Q12" s="11" t="n">
        <x:f>IF(AND(COLUMN()-1&gt;='Assumptions'!$C$25,COLUMN()-1&lt;='Assumptions'!$D$25),'Assumptions'!$B$25,0)</x:f>
        <x:v>800</x:v>
      </x:c>
      <x:c r="R12" s="11" t="n">
        <x:f>IF(AND(COLUMN()-1&gt;='Assumptions'!$C$25,COLUMN()-1&lt;='Assumptions'!$D$25),'Assumptions'!$B$25,0)</x:f>
        <x:v>800</x:v>
      </x:c>
      <x:c r="S12" s="11" t="n">
        <x:f>IF(AND(COLUMN()-1&gt;='Assumptions'!$C$25,COLUMN()-1&lt;='Assumptions'!$D$25),'Assumptions'!$B$25,0)</x:f>
        <x:v>800</x:v>
      </x:c>
      <x:c r="T12" s="1"/>
      <x:c r="U12" s="1"/>
      <x:c r="V12" s="1"/>
      <x:c r="W12" s="1"/>
      <x:c r="X12" s="1"/>
      <x:c r="Y12" s="1"/>
      <x:c r="Z12" s="1"/>
    </x:row>
    <x:row r="13">
      <x:c r="A13" s="1" t="str">
        <x:v>Marketing and community</x:v>
      </x:c>
      <x:c r="B13" s="11" t="n">
        <x:f>IF(AND(COLUMN()-1&gt;='Assumptions'!$C$26,COLUMN()-1&lt;='Assumptions'!$D$26),'Assumptions'!$B$26,0)</x:f>
        <x:v>0</x:v>
      </x:c>
      <x:c r="C13" s="11" t="n">
        <x:f>IF(AND(COLUMN()-1&gt;='Assumptions'!$C$26,COLUMN()-1&lt;='Assumptions'!$D$26),'Assumptions'!$B$26,0)</x:f>
        <x:v>0</x:v>
      </x:c>
      <x:c r="D13" s="11" t="n">
        <x:f>IF(AND(COLUMN()-1&gt;='Assumptions'!$C$26,COLUMN()-1&lt;='Assumptions'!$D$26),'Assumptions'!$B$26,0)</x:f>
        <x:v>0</x:v>
      </x:c>
      <x:c r="E13" s="11" t="n">
        <x:f>IF(AND(COLUMN()-1&gt;='Assumptions'!$C$26,COLUMN()-1&lt;='Assumptions'!$D$26),'Assumptions'!$B$26,0)</x:f>
        <x:v>0</x:v>
      </x:c>
      <x:c r="F13" s="11" t="n">
        <x:f>IF(AND(COLUMN()-1&gt;='Assumptions'!$C$26,COLUMN()-1&lt;='Assumptions'!$D$26),'Assumptions'!$B$26,0)</x:f>
        <x:v>0</x:v>
      </x:c>
      <x:c r="G13" s="11" t="n">
        <x:f>IF(AND(COLUMN()-1&gt;='Assumptions'!$C$26,COLUMN()-1&lt;='Assumptions'!$D$26),'Assumptions'!$B$26,0)</x:f>
        <x:v>0</x:v>
      </x:c>
      <x:c r="H13" s="11" t="n">
        <x:f>IF(AND(COLUMN()-1&gt;='Assumptions'!$C$26,COLUMN()-1&lt;='Assumptions'!$D$26),'Assumptions'!$B$26,0)</x:f>
        <x:v>1000</x:v>
      </x:c>
      <x:c r="I13" s="11" t="n">
        <x:f>IF(AND(COLUMN()-1&gt;='Assumptions'!$C$26,COLUMN()-1&lt;='Assumptions'!$D$26),'Assumptions'!$B$26,0)</x:f>
        <x:v>1000</x:v>
      </x:c>
      <x:c r="J13" s="11" t="n">
        <x:f>IF(AND(COLUMN()-1&gt;='Assumptions'!$C$26,COLUMN()-1&lt;='Assumptions'!$D$26),'Assumptions'!$B$26,0)</x:f>
        <x:v>1000</x:v>
      </x:c>
      <x:c r="K13" s="11" t="n">
        <x:f>IF(AND(COLUMN()-1&gt;='Assumptions'!$C$26,COLUMN()-1&lt;='Assumptions'!$D$26),'Assumptions'!$B$26,0)</x:f>
        <x:v>1000</x:v>
      </x:c>
      <x:c r="L13" s="11" t="n">
        <x:f>IF(AND(COLUMN()-1&gt;='Assumptions'!$C$26,COLUMN()-1&lt;='Assumptions'!$D$26),'Assumptions'!$B$26,0)</x:f>
        <x:v>1000</x:v>
      </x:c>
      <x:c r="M13" s="11" t="n">
        <x:f>IF(AND(COLUMN()-1&gt;='Assumptions'!$C$26,COLUMN()-1&lt;='Assumptions'!$D$26),'Assumptions'!$B$26,0)</x:f>
        <x:v>1000</x:v>
      </x:c>
      <x:c r="N13" s="11" t="n">
        <x:f>IF(AND(COLUMN()-1&gt;='Assumptions'!$C$26,COLUMN()-1&lt;='Assumptions'!$D$26),'Assumptions'!$B$26,0)</x:f>
        <x:v>1000</x:v>
      </x:c>
      <x:c r="O13" s="11" t="n">
        <x:f>IF(AND(COLUMN()-1&gt;='Assumptions'!$C$26,COLUMN()-1&lt;='Assumptions'!$D$26),'Assumptions'!$B$26,0)</x:f>
        <x:v>1000</x:v>
      </x:c>
      <x:c r="P13" s="11" t="n">
        <x:f>IF(AND(COLUMN()-1&gt;='Assumptions'!$C$26,COLUMN()-1&lt;='Assumptions'!$D$26),'Assumptions'!$B$26,0)</x:f>
        <x:v>1000</x:v>
      </x:c>
      <x:c r="Q13" s="11" t="n">
        <x:f>IF(AND(COLUMN()-1&gt;='Assumptions'!$C$26,COLUMN()-1&lt;='Assumptions'!$D$26),'Assumptions'!$B$26,0)</x:f>
        <x:v>1000</x:v>
      </x:c>
      <x:c r="R13" s="11" t="n">
        <x:f>IF(AND(COLUMN()-1&gt;='Assumptions'!$C$26,COLUMN()-1&lt;='Assumptions'!$D$26),'Assumptions'!$B$26,0)</x:f>
        <x:v>1000</x:v>
      </x:c>
      <x:c r="S13" s="11" t="n">
        <x:f>IF(AND(COLUMN()-1&gt;='Assumptions'!$C$26,COLUMN()-1&lt;='Assumptions'!$D$26),'Assumptions'!$B$26,0)</x:f>
        <x:v>1000</x:v>
      </x:c>
      <x:c r="T13" s="1"/>
      <x:c r="U13" s="1"/>
      <x:c r="V13" s="1"/>
      <x:c r="W13" s="1"/>
      <x:c r="X13" s="1"/>
      <x:c r="Y13" s="1"/>
      <x:c r="Z13" s="1"/>
    </x:row>
    <x:row r="14">
      <x:c r="A14" s="42" t="str">
        <x:v>Subtotal compensation</x:v>
      </x:c>
      <x:c r="B14" s="43" t="n">
        <x:f>SUM(B6:B7)</x:f>
        <x:v>7000</x:v>
      </x:c>
      <x:c r="C14" s="43" t="n">
        <x:f>SUM(C6:C7)</x:f>
        <x:v>7000</x:v>
      </x:c>
      <x:c r="D14" s="43" t="n">
        <x:f>SUM(D6:D7)</x:f>
        <x:v>7000</x:v>
      </x:c>
      <x:c r="E14" s="43" t="n">
        <x:f>SUM(E6:E7)</x:f>
        <x:v>19000</x:v>
      </x:c>
      <x:c r="F14" s="43" t="n">
        <x:f>SUM(F6:F7)</x:f>
        <x:v>19000</x:v>
      </x:c>
      <x:c r="G14" s="43" t="n">
        <x:f>SUM(G6:G7)</x:f>
        <x:v>19000</x:v>
      </x:c>
      <x:c r="H14" s="43" t="n">
        <x:f>SUM(H6:H7)</x:f>
        <x:v>19000</x:v>
      </x:c>
      <x:c r="I14" s="43" t="n">
        <x:f>SUM(I6:I7)</x:f>
        <x:v>19000</x:v>
      </x:c>
      <x:c r="J14" s="43" t="n">
        <x:f>SUM(J6:J7)</x:f>
        <x:v>19000</x:v>
      </x:c>
      <x:c r="K14" s="43" t="n">
        <x:f>SUM(K6:K7)</x:f>
        <x:v>19000</x:v>
      </x:c>
      <x:c r="L14" s="43" t="n">
        <x:f>SUM(L6:L7)</x:f>
        <x:v>19000</x:v>
      </x:c>
      <x:c r="M14" s="43" t="n">
        <x:f>SUM(M6:M7)</x:f>
        <x:v>19000</x:v>
      </x:c>
      <x:c r="N14" s="43" t="n">
        <x:f>SUM(N6:N7)</x:f>
        <x:v>19000</x:v>
      </x:c>
      <x:c r="O14" s="43" t="n">
        <x:f>SUM(O6:O7)</x:f>
        <x:v>19000</x:v>
      </x:c>
      <x:c r="P14" s="43" t="n">
        <x:f>SUM(P6:P7)</x:f>
        <x:v>19000</x:v>
      </x:c>
      <x:c r="Q14" s="43" t="n">
        <x:f>SUM(Q6:Q7)</x:f>
        <x:v>19000</x:v>
      </x:c>
      <x:c r="R14" s="43" t="n">
        <x:f>SUM(R6:R7)</x:f>
        <x:v>19000</x:v>
      </x:c>
      <x:c r="S14" s="43" t="n">
        <x:f>SUM(S6:S7)</x:f>
        <x:v>19000</x:v>
      </x:c>
      <x:c r="T14" s="1"/>
      <x:c r="U14" s="1"/>
      <x:c r="V14" s="1"/>
      <x:c r="W14" s="1"/>
      <x:c r="X14" s="1"/>
      <x:c r="Y14" s="1"/>
      <x:c r="Z14" s="1"/>
    </x:row>
    <x:row r="15">
      <x:c r="A15" s="1" t="str">
        <x:v>Payroll taxes / benefits</x:v>
      </x:c>
      <x:c r="B15" s="11" t="n">
        <x:f>B14*'Assumptions'!$B$19</x:f>
        <x:v>840</x:v>
      </x:c>
      <x:c r="C15" s="11" t="n">
        <x:f>C14*'Assumptions'!$B$19</x:f>
        <x:v>840</x:v>
      </x:c>
      <x:c r="D15" s="11" t="n">
        <x:f>D14*'Assumptions'!$B$19</x:f>
        <x:v>840</x:v>
      </x:c>
      <x:c r="E15" s="11" t="n">
        <x:f>E14*'Assumptions'!$B$19</x:f>
        <x:v>2280</x:v>
      </x:c>
      <x:c r="F15" s="11" t="n">
        <x:f>F14*'Assumptions'!$B$19</x:f>
        <x:v>2280</x:v>
      </x:c>
      <x:c r="G15" s="11" t="n">
        <x:f>G14*'Assumptions'!$B$19</x:f>
        <x:v>2280</x:v>
      </x:c>
      <x:c r="H15" s="11" t="n">
        <x:f>H14*'Assumptions'!$B$19</x:f>
        <x:v>2280</x:v>
      </x:c>
      <x:c r="I15" s="11" t="n">
        <x:f>I14*'Assumptions'!$B$19</x:f>
        <x:v>2280</x:v>
      </x:c>
      <x:c r="J15" s="11" t="n">
        <x:f>J14*'Assumptions'!$B$19</x:f>
        <x:v>2280</x:v>
      </x:c>
      <x:c r="K15" s="11" t="n">
        <x:f>K14*'Assumptions'!$B$19</x:f>
        <x:v>2280</x:v>
      </x:c>
      <x:c r="L15" s="11" t="n">
        <x:f>L14*'Assumptions'!$B$19</x:f>
        <x:v>2280</x:v>
      </x:c>
      <x:c r="M15" s="11" t="n">
        <x:f>M14*'Assumptions'!$B$19</x:f>
        <x:v>2280</x:v>
      </x:c>
      <x:c r="N15" s="11" t="n">
        <x:f>N14*'Assumptions'!$B$19</x:f>
        <x:v>2280</x:v>
      </x:c>
      <x:c r="O15" s="11" t="n">
        <x:f>O14*'Assumptions'!$B$19</x:f>
        <x:v>2280</x:v>
      </x:c>
      <x:c r="P15" s="11" t="n">
        <x:f>P14*'Assumptions'!$B$19</x:f>
        <x:v>2280</x:v>
      </x:c>
      <x:c r="Q15" s="11" t="n">
        <x:f>Q14*'Assumptions'!$B$19</x:f>
        <x:v>2280</x:v>
      </x:c>
      <x:c r="R15" s="11" t="n">
        <x:f>R14*'Assumptions'!$B$19</x:f>
        <x:v>2280</x:v>
      </x:c>
      <x:c r="S15" s="11" t="n">
        <x:f>S14*'Assumptions'!$B$19</x:f>
        <x:v>2280</x:v>
      </x:c>
      <x:c r="T15" s="1"/>
      <x:c r="U15" s="1"/>
      <x:c r="V15" s="1"/>
      <x:c r="W15" s="1"/>
      <x:c r="X15" s="1"/>
      <x:c r="Y15" s="1"/>
      <x:c r="Z15" s="1"/>
    </x:row>
    <x:row r="16">
      <x:c r="A16" s="42" t="str">
        <x:v>Total people costs</x:v>
      </x:c>
      <x:c r="B16" s="43" t="n">
        <x:f>SUM(B14:B15)</x:f>
        <x:v>7840</x:v>
      </x:c>
      <x:c r="C16" s="43" t="n">
        <x:f>SUM(C14:C15)</x:f>
        <x:v>7840</x:v>
      </x:c>
      <x:c r="D16" s="43" t="n">
        <x:f>SUM(D14:D15)</x:f>
        <x:v>7840</x:v>
      </x:c>
      <x:c r="E16" s="43" t="n">
        <x:f>SUM(E14:E15)</x:f>
        <x:v>21280</x:v>
      </x:c>
      <x:c r="F16" s="43" t="n">
        <x:f>SUM(F14:F15)</x:f>
        <x:v>21280</x:v>
      </x:c>
      <x:c r="G16" s="43" t="n">
        <x:f>SUM(G14:G15)</x:f>
        <x:v>21280</x:v>
      </x:c>
      <x:c r="H16" s="43" t="n">
        <x:f>SUM(H14:H15)</x:f>
        <x:v>21280</x:v>
      </x:c>
      <x:c r="I16" s="43" t="n">
        <x:f>SUM(I14:I15)</x:f>
        <x:v>21280</x:v>
      </x:c>
      <x:c r="J16" s="43" t="n">
        <x:f>SUM(J14:J15)</x:f>
        <x:v>21280</x:v>
      </x:c>
      <x:c r="K16" s="43" t="n">
        <x:f>SUM(K14:K15)</x:f>
        <x:v>21280</x:v>
      </x:c>
      <x:c r="L16" s="43" t="n">
        <x:f>SUM(L14:L15)</x:f>
        <x:v>21280</x:v>
      </x:c>
      <x:c r="M16" s="43" t="n">
        <x:f>SUM(M14:M15)</x:f>
        <x:v>21280</x:v>
      </x:c>
      <x:c r="N16" s="43" t="n">
        <x:f>SUM(N14:N15)</x:f>
        <x:v>21280</x:v>
      </x:c>
      <x:c r="O16" s="43" t="n">
        <x:f>SUM(O14:O15)</x:f>
        <x:v>21280</x:v>
      </x:c>
      <x:c r="P16" s="43" t="n">
        <x:f>SUM(P14:P15)</x:f>
        <x:v>21280</x:v>
      </x:c>
      <x:c r="Q16" s="43" t="n">
        <x:f>SUM(Q14:Q15)</x:f>
        <x:v>21280</x:v>
      </x:c>
      <x:c r="R16" s="43" t="n">
        <x:f>SUM(R14:R15)</x:f>
        <x:v>21280</x:v>
      </x:c>
      <x:c r="S16" s="43" t="n">
        <x:f>SUM(S14:S15)</x:f>
        <x:v>21280</x:v>
      </x:c>
      <x:c r="T16" s="1"/>
      <x:c r="U16" s="1"/>
      <x:c r="V16" s="1"/>
      <x:c r="W16" s="1"/>
      <x:c r="X16" s="1"/>
      <x:c r="Y16" s="1"/>
      <x:c r="Z16" s="1"/>
    </x:row>
    <x:row r="17">
      <x:c r="A17" s="1" t="str">
        <x:v>Incorporation / financing legal</x:v>
      </x:c>
      <x:c r="B17" s="11" t="n">
        <x:f>IF(COLUMN()-1='Assumptions'!$C$30,'Assumptions'!$B$30,0)</x:f>
        <x:v>12000</x:v>
      </x:c>
      <x:c r="C17" s="11" t="n">
        <x:f>IF(COLUMN()-1='Assumptions'!$C$30,'Assumptions'!$B$30,0)</x:f>
        <x:v>0</x:v>
      </x:c>
      <x:c r="D17" s="11" t="n">
        <x:f>IF(COLUMN()-1='Assumptions'!$C$30,'Assumptions'!$B$30,0)</x:f>
        <x:v>0</x:v>
      </x:c>
      <x:c r="E17" s="11" t="n">
        <x:f>IF(COLUMN()-1='Assumptions'!$C$30,'Assumptions'!$B$30,0)</x:f>
        <x:v>0</x:v>
      </x:c>
      <x:c r="F17" s="11" t="n">
        <x:f>IF(COLUMN()-1='Assumptions'!$C$30,'Assumptions'!$B$30,0)</x:f>
        <x:v>0</x:v>
      </x:c>
      <x:c r="G17" s="11" t="n">
        <x:f>IF(COLUMN()-1='Assumptions'!$C$30,'Assumptions'!$B$30,0)</x:f>
        <x:v>0</x:v>
      </x:c>
      <x:c r="H17" s="11" t="n">
        <x:f>IF(COLUMN()-1='Assumptions'!$C$30,'Assumptions'!$B$30,0)</x:f>
        <x:v>0</x:v>
      </x:c>
      <x:c r="I17" s="11" t="n">
        <x:f>IF(COLUMN()-1='Assumptions'!$C$30,'Assumptions'!$B$30,0)</x:f>
        <x:v>0</x:v>
      </x:c>
      <x:c r="J17" s="11" t="n">
        <x:f>IF(COLUMN()-1='Assumptions'!$C$30,'Assumptions'!$B$30,0)</x:f>
        <x:v>0</x:v>
      </x:c>
      <x:c r="K17" s="11" t="n">
        <x:f>IF(COLUMN()-1='Assumptions'!$C$30,'Assumptions'!$B$30,0)</x:f>
        <x:v>0</x:v>
      </x:c>
      <x:c r="L17" s="11" t="n">
        <x:f>IF(COLUMN()-1='Assumptions'!$C$30,'Assumptions'!$B$30,0)</x:f>
        <x:v>0</x:v>
      </x:c>
      <x:c r="M17" s="11" t="n">
        <x:f>IF(COLUMN()-1='Assumptions'!$C$30,'Assumptions'!$B$30,0)</x:f>
        <x:v>0</x:v>
      </x:c>
      <x:c r="N17" s="11" t="n">
        <x:f>IF(COLUMN()-1='Assumptions'!$C$30,'Assumptions'!$B$30,0)</x:f>
        <x:v>0</x:v>
      </x:c>
      <x:c r="O17" s="11" t="n">
        <x:f>IF(COLUMN()-1='Assumptions'!$C$30,'Assumptions'!$B$30,0)</x:f>
        <x:v>0</x:v>
      </x:c>
      <x:c r="P17" s="11" t="n">
        <x:f>IF(COLUMN()-1='Assumptions'!$C$30,'Assumptions'!$B$30,0)</x:f>
        <x:v>0</x:v>
      </x:c>
      <x:c r="Q17" s="11" t="n">
        <x:f>IF(COLUMN()-1='Assumptions'!$C$30,'Assumptions'!$B$30,0)</x:f>
        <x:v>0</x:v>
      </x:c>
      <x:c r="R17" s="11" t="n">
        <x:f>IF(COLUMN()-1='Assumptions'!$C$30,'Assumptions'!$B$30,0)</x:f>
        <x:v>0</x:v>
      </x:c>
      <x:c r="S17" s="11" t="n">
        <x:f>IF(COLUMN()-1='Assumptions'!$C$30,'Assumptions'!$B$30,0)</x:f>
        <x:v>0</x:v>
      </x:c>
      <x:c r="T17" s="1"/>
      <x:c r="U17" s="1"/>
      <x:c r="V17" s="1"/>
      <x:c r="W17" s="1"/>
      <x:c r="X17" s="1"/>
      <x:c r="Y17" s="1"/>
      <x:c r="Z17" s="1"/>
    </x:row>
    <x:row r="18">
      <x:c r="A18" s="1" t="str">
        <x:v>IP and contract cleanup</x:v>
      </x:c>
      <x:c r="B18" s="11" t="n">
        <x:f>IF(COLUMN()-1='Assumptions'!$C$31,'Assumptions'!$B$31,0)</x:f>
        <x:v>5000</x:v>
      </x:c>
      <x:c r="C18" s="11" t="n">
        <x:f>IF(COLUMN()-1='Assumptions'!$C$31,'Assumptions'!$B$31,0)</x:f>
        <x:v>0</x:v>
      </x:c>
      <x:c r="D18" s="11" t="n">
        <x:f>IF(COLUMN()-1='Assumptions'!$C$31,'Assumptions'!$B$31,0)</x:f>
        <x:v>0</x:v>
      </x:c>
      <x:c r="E18" s="11" t="n">
        <x:f>IF(COLUMN()-1='Assumptions'!$C$31,'Assumptions'!$B$31,0)</x:f>
        <x:v>0</x:v>
      </x:c>
      <x:c r="F18" s="11" t="n">
        <x:f>IF(COLUMN()-1='Assumptions'!$C$31,'Assumptions'!$B$31,0)</x:f>
        <x:v>0</x:v>
      </x:c>
      <x:c r="G18" s="11" t="n">
        <x:f>IF(COLUMN()-1='Assumptions'!$C$31,'Assumptions'!$B$31,0)</x:f>
        <x:v>0</x:v>
      </x:c>
      <x:c r="H18" s="11" t="n">
        <x:f>IF(COLUMN()-1='Assumptions'!$C$31,'Assumptions'!$B$31,0)</x:f>
        <x:v>0</x:v>
      </x:c>
      <x:c r="I18" s="11" t="n">
        <x:f>IF(COLUMN()-1='Assumptions'!$C$31,'Assumptions'!$B$31,0)</x:f>
        <x:v>0</x:v>
      </x:c>
      <x:c r="J18" s="11" t="n">
        <x:f>IF(COLUMN()-1='Assumptions'!$C$31,'Assumptions'!$B$31,0)</x:f>
        <x:v>0</x:v>
      </x:c>
      <x:c r="K18" s="11" t="n">
        <x:f>IF(COLUMN()-1='Assumptions'!$C$31,'Assumptions'!$B$31,0)</x:f>
        <x:v>0</x:v>
      </x:c>
      <x:c r="L18" s="11" t="n">
        <x:f>IF(COLUMN()-1='Assumptions'!$C$31,'Assumptions'!$B$31,0)</x:f>
        <x:v>0</x:v>
      </x:c>
      <x:c r="M18" s="11" t="n">
        <x:f>IF(COLUMN()-1='Assumptions'!$C$31,'Assumptions'!$B$31,0)</x:f>
        <x:v>0</x:v>
      </x:c>
      <x:c r="N18" s="11" t="n">
        <x:f>IF(COLUMN()-1='Assumptions'!$C$31,'Assumptions'!$B$31,0)</x:f>
        <x:v>0</x:v>
      </x:c>
      <x:c r="O18" s="11" t="n">
        <x:f>IF(COLUMN()-1='Assumptions'!$C$31,'Assumptions'!$B$31,0)</x:f>
        <x:v>0</x:v>
      </x:c>
      <x:c r="P18" s="11" t="n">
        <x:f>IF(COLUMN()-1='Assumptions'!$C$31,'Assumptions'!$B$31,0)</x:f>
        <x:v>0</x:v>
      </x:c>
      <x:c r="Q18" s="11" t="n">
        <x:f>IF(COLUMN()-1='Assumptions'!$C$31,'Assumptions'!$B$31,0)</x:f>
        <x:v>0</x:v>
      </x:c>
      <x:c r="R18" s="11" t="n">
        <x:f>IF(COLUMN()-1='Assumptions'!$C$31,'Assumptions'!$B$31,0)</x:f>
        <x:v>0</x:v>
      </x:c>
      <x:c r="S18" s="11" t="n">
        <x:f>IF(COLUMN()-1='Assumptions'!$C$31,'Assumptions'!$B$31,0)</x:f>
        <x:v>0</x:v>
      </x:c>
      <x:c r="T18" s="1"/>
      <x:c r="U18" s="1"/>
      <x:c r="V18" s="1"/>
      <x:c r="W18" s="1"/>
      <x:c r="X18" s="1"/>
      <x:c r="Y18" s="1"/>
      <x:c r="Z18" s="1"/>
    </x:row>
    <x:row r="19">
      <x:c r="A19" s="1" t="str">
        <x:v>App Store / launch assets</x:v>
      </x:c>
      <x:c r="B19" s="11" t="n">
        <x:f>IF(COLUMN()-1='Assumptions'!$C$32,'Assumptions'!$B$32,0)</x:f>
        <x:v>0</x:v>
      </x:c>
      <x:c r="C19" s="11" t="n">
        <x:f>IF(COLUMN()-1='Assumptions'!$C$32,'Assumptions'!$B$32,0)</x:f>
        <x:v>0</x:v>
      </x:c>
      <x:c r="D19" s="11" t="n">
        <x:f>IF(COLUMN()-1='Assumptions'!$C$32,'Assumptions'!$B$32,0)</x:f>
        <x:v>0</x:v>
      </x:c>
      <x:c r="E19" s="11" t="n">
        <x:f>IF(COLUMN()-1='Assumptions'!$C$32,'Assumptions'!$B$32,0)</x:f>
        <x:v>0</x:v>
      </x:c>
      <x:c r="F19" s="11" t="n">
        <x:f>IF(COLUMN()-1='Assumptions'!$C$32,'Assumptions'!$B$32,0)</x:f>
        <x:v>0</x:v>
      </x:c>
      <x:c r="G19" s="11" t="n">
        <x:f>IF(COLUMN()-1='Assumptions'!$C$32,'Assumptions'!$B$32,0)</x:f>
        <x:v>0</x:v>
      </x:c>
      <x:c r="H19" s="11" t="n">
        <x:f>IF(COLUMN()-1='Assumptions'!$C$32,'Assumptions'!$B$32,0)</x:f>
        <x:v>0</x:v>
      </x:c>
      <x:c r="I19" s="11" t="n">
        <x:f>IF(COLUMN()-1='Assumptions'!$C$32,'Assumptions'!$B$32,0)</x:f>
        <x:v>0</x:v>
      </x:c>
      <x:c r="J19" s="11" t="n">
        <x:f>IF(COLUMN()-1='Assumptions'!$C$32,'Assumptions'!$B$32,0)</x:f>
        <x:v>3000</x:v>
      </x:c>
      <x:c r="K19" s="11" t="n">
        <x:f>IF(COLUMN()-1='Assumptions'!$C$32,'Assumptions'!$B$32,0)</x:f>
        <x:v>0</x:v>
      </x:c>
      <x:c r="L19" s="11" t="n">
        <x:f>IF(COLUMN()-1='Assumptions'!$C$32,'Assumptions'!$B$32,0)</x:f>
        <x:v>0</x:v>
      </x:c>
      <x:c r="M19" s="11" t="n">
        <x:f>IF(COLUMN()-1='Assumptions'!$C$32,'Assumptions'!$B$32,0)</x:f>
        <x:v>0</x:v>
      </x:c>
      <x:c r="N19" s="11" t="n">
        <x:f>IF(COLUMN()-1='Assumptions'!$C$32,'Assumptions'!$B$32,0)</x:f>
        <x:v>0</x:v>
      </x:c>
      <x:c r="O19" s="11" t="n">
        <x:f>IF(COLUMN()-1='Assumptions'!$C$32,'Assumptions'!$B$32,0)</x:f>
        <x:v>0</x:v>
      </x:c>
      <x:c r="P19" s="11" t="n">
        <x:f>IF(COLUMN()-1='Assumptions'!$C$32,'Assumptions'!$B$32,0)</x:f>
        <x:v>0</x:v>
      </x:c>
      <x:c r="Q19" s="11" t="n">
        <x:f>IF(COLUMN()-1='Assumptions'!$C$32,'Assumptions'!$B$32,0)</x:f>
        <x:v>0</x:v>
      </x:c>
      <x:c r="R19" s="11" t="n">
        <x:f>IF(COLUMN()-1='Assumptions'!$C$32,'Assumptions'!$B$32,0)</x:f>
        <x:v>0</x:v>
      </x:c>
      <x:c r="S19" s="11" t="n">
        <x:f>IF(COLUMN()-1='Assumptions'!$C$32,'Assumptions'!$B$32,0)</x:f>
        <x:v>0</x:v>
      </x:c>
      <x:c r="T19" s="1"/>
      <x:c r="U19" s="1"/>
      <x:c r="V19" s="1"/>
      <x:c r="W19" s="1"/>
      <x:c r="X19" s="1"/>
      <x:c r="Y19" s="1"/>
      <x:c r="Z19" s="1"/>
    </x:row>
    <x:row r="20">
      <x:c r="A20" s="1" t="str">
        <x:v>Security testing</x:v>
      </x:c>
      <x:c r="B20" s="11" t="n">
        <x:f>IF(COLUMN()-1='Assumptions'!$C$33,'Assumptions'!$B$33,0)</x:f>
        <x:v>0</x:v>
      </x:c>
      <x:c r="C20" s="11" t="n">
        <x:f>IF(COLUMN()-1='Assumptions'!$C$33,'Assumptions'!$B$33,0)</x:f>
        <x:v>0</x:v>
      </x:c>
      <x:c r="D20" s="11" t="n">
        <x:f>IF(COLUMN()-1='Assumptions'!$C$33,'Assumptions'!$B$33,0)</x:f>
        <x:v>0</x:v>
      </x:c>
      <x:c r="E20" s="11" t="n">
        <x:f>IF(COLUMN()-1='Assumptions'!$C$33,'Assumptions'!$B$33,0)</x:f>
        <x:v>0</x:v>
      </x:c>
      <x:c r="F20" s="11" t="n">
        <x:f>IF(COLUMN()-1='Assumptions'!$C$33,'Assumptions'!$B$33,0)</x:f>
        <x:v>0</x:v>
      </x:c>
      <x:c r="G20" s="11" t="n">
        <x:f>IF(COLUMN()-1='Assumptions'!$C$33,'Assumptions'!$B$33,0)</x:f>
        <x:v>0</x:v>
      </x:c>
      <x:c r="H20" s="11" t="n">
        <x:f>IF(COLUMN()-1='Assumptions'!$C$33,'Assumptions'!$B$33,0)</x:f>
        <x:v>0</x:v>
      </x:c>
      <x:c r="I20" s="11" t="n">
        <x:f>IF(COLUMN()-1='Assumptions'!$C$33,'Assumptions'!$B$33,0)</x:f>
        <x:v>0</x:v>
      </x:c>
      <x:c r="J20" s="11" t="n">
        <x:f>IF(COLUMN()-1='Assumptions'!$C$33,'Assumptions'!$B$33,0)</x:f>
        <x:v>0</x:v>
      </x:c>
      <x:c r="K20" s="11" t="n">
        <x:f>IF(COLUMN()-1='Assumptions'!$C$33,'Assumptions'!$B$33,0)</x:f>
        <x:v>0</x:v>
      </x:c>
      <x:c r="L20" s="11" t="n">
        <x:f>IF(COLUMN()-1='Assumptions'!$C$33,'Assumptions'!$B$33,0)</x:f>
        <x:v>8000</x:v>
      </x:c>
      <x:c r="M20" s="11" t="n">
        <x:f>IF(COLUMN()-1='Assumptions'!$C$33,'Assumptions'!$B$33,0)</x:f>
        <x:v>0</x:v>
      </x:c>
      <x:c r="N20" s="11" t="n">
        <x:f>IF(COLUMN()-1='Assumptions'!$C$33,'Assumptions'!$B$33,0)</x:f>
        <x:v>0</x:v>
      </x:c>
      <x:c r="O20" s="11" t="n">
        <x:f>IF(COLUMN()-1='Assumptions'!$C$33,'Assumptions'!$B$33,0)</x:f>
        <x:v>0</x:v>
      </x:c>
      <x:c r="P20" s="11" t="n">
        <x:f>IF(COLUMN()-1='Assumptions'!$C$33,'Assumptions'!$B$33,0)</x:f>
        <x:v>0</x:v>
      </x:c>
      <x:c r="Q20" s="11" t="n">
        <x:f>IF(COLUMN()-1='Assumptions'!$C$33,'Assumptions'!$B$33,0)</x:f>
        <x:v>0</x:v>
      </x:c>
      <x:c r="R20" s="11" t="n">
        <x:f>IF(COLUMN()-1='Assumptions'!$C$33,'Assumptions'!$B$33,0)</x:f>
        <x:v>0</x:v>
      </x:c>
      <x:c r="S20" s="11" t="n">
        <x:f>IF(COLUMN()-1='Assumptions'!$C$33,'Assumptions'!$B$33,0)</x:f>
        <x:v>0</x:v>
      </x:c>
      <x:c r="T20" s="1"/>
      <x:c r="U20" s="1"/>
      <x:c r="V20" s="1"/>
      <x:c r="W20" s="1"/>
      <x:c r="X20" s="1"/>
      <x:c r="Y20" s="1"/>
      <x:c r="Z20" s="1"/>
    </x:row>
    <x:row r="21">
      <x:c r="A21" s="1" t="str">
        <x:v>Contingent recruiting</x:v>
      </x:c>
      <x:c r="B21" s="11" t="n">
        <x:f>IF(COLUMN()-1='Assumptions'!$C$34,'Assumptions'!$B$34,0)</x:f>
        <x:v>0</x:v>
      </x:c>
      <x:c r="C21" s="11" t="n">
        <x:f>IF(COLUMN()-1='Assumptions'!$C$34,'Assumptions'!$B$34,0)</x:f>
        <x:v>0</x:v>
      </x:c>
      <x:c r="D21" s="11" t="n">
        <x:f>IF(COLUMN()-1='Assumptions'!$C$34,'Assumptions'!$B$34,0)</x:f>
        <x:v>0</x:v>
      </x:c>
      <x:c r="E21" s="11" t="n">
        <x:f>IF(COLUMN()-1='Assumptions'!$C$34,'Assumptions'!$B$34,0)</x:f>
        <x:v>5000</x:v>
      </x:c>
      <x:c r="F21" s="11" t="n">
        <x:f>IF(COLUMN()-1='Assumptions'!$C$34,'Assumptions'!$B$34,0)</x:f>
        <x:v>0</x:v>
      </x:c>
      <x:c r="G21" s="11" t="n">
        <x:f>IF(COLUMN()-1='Assumptions'!$C$34,'Assumptions'!$B$34,0)</x:f>
        <x:v>0</x:v>
      </x:c>
      <x:c r="H21" s="11" t="n">
        <x:f>IF(COLUMN()-1='Assumptions'!$C$34,'Assumptions'!$B$34,0)</x:f>
        <x:v>0</x:v>
      </x:c>
      <x:c r="I21" s="11" t="n">
        <x:f>IF(COLUMN()-1='Assumptions'!$C$34,'Assumptions'!$B$34,0)</x:f>
        <x:v>0</x:v>
      </x:c>
      <x:c r="J21" s="11" t="n">
        <x:f>IF(COLUMN()-1='Assumptions'!$C$34,'Assumptions'!$B$34,0)</x:f>
        <x:v>0</x:v>
      </x:c>
      <x:c r="K21" s="11" t="n">
        <x:f>IF(COLUMN()-1='Assumptions'!$C$34,'Assumptions'!$B$34,0)</x:f>
        <x:v>0</x:v>
      </x:c>
      <x:c r="L21" s="11" t="n">
        <x:f>IF(COLUMN()-1='Assumptions'!$C$34,'Assumptions'!$B$34,0)</x:f>
        <x:v>0</x:v>
      </x:c>
      <x:c r="M21" s="11" t="n">
        <x:f>IF(COLUMN()-1='Assumptions'!$C$34,'Assumptions'!$B$34,0)</x:f>
        <x:v>0</x:v>
      </x:c>
      <x:c r="N21" s="11" t="n">
        <x:f>IF(COLUMN()-1='Assumptions'!$C$34,'Assumptions'!$B$34,0)</x:f>
        <x:v>0</x:v>
      </x:c>
      <x:c r="O21" s="11" t="n">
        <x:f>IF(COLUMN()-1='Assumptions'!$C$34,'Assumptions'!$B$34,0)</x:f>
        <x:v>0</x:v>
      </x:c>
      <x:c r="P21" s="11" t="n">
        <x:f>IF(COLUMN()-1='Assumptions'!$C$34,'Assumptions'!$B$34,0)</x:f>
        <x:v>0</x:v>
      </x:c>
      <x:c r="Q21" s="11" t="n">
        <x:f>IF(COLUMN()-1='Assumptions'!$C$34,'Assumptions'!$B$34,0)</x:f>
        <x:v>0</x:v>
      </x:c>
      <x:c r="R21" s="11" t="n">
        <x:f>IF(COLUMN()-1='Assumptions'!$C$34,'Assumptions'!$B$34,0)</x:f>
        <x:v>0</x:v>
      </x:c>
      <x:c r="S21" s="11" t="n">
        <x:f>IF(COLUMN()-1='Assumptions'!$C$34,'Assumptions'!$B$34,0)</x:f>
        <x:v>0</x:v>
      </x:c>
      <x:c r="T21" s="1"/>
      <x:c r="U21" s="1"/>
      <x:c r="V21" s="1"/>
      <x:c r="W21" s="1"/>
      <x:c r="X21" s="1"/>
      <x:c r="Y21" s="1"/>
      <x:c r="Z21" s="1"/>
    </x:row>
    <x:row r="22">
      <x:c r="A22" s="42" t="str">
        <x:v>Total one-time costs</x:v>
      </x:c>
      <x:c r="B22" s="43" t="n">
        <x:f>SUM(B17:B21)</x:f>
        <x:v>17000</x:v>
      </x:c>
      <x:c r="C22" s="43" t="n">
        <x:f>SUM(C17:C21)</x:f>
        <x:v>0</x:v>
      </x:c>
      <x:c r="D22" s="43" t="n">
        <x:f>SUM(D17:D21)</x:f>
        <x:v>0</x:v>
      </x:c>
      <x:c r="E22" s="43" t="n">
        <x:f>SUM(E17:E21)</x:f>
        <x:v>5000</x:v>
      </x:c>
      <x:c r="F22" s="43" t="n">
        <x:f>SUM(F17:F21)</x:f>
        <x:v>0</x:v>
      </x:c>
      <x:c r="G22" s="43" t="n">
        <x:f>SUM(G17:G21)</x:f>
        <x:v>0</x:v>
      </x:c>
      <x:c r="H22" s="43" t="n">
        <x:f>SUM(H17:H21)</x:f>
        <x:v>0</x:v>
      </x:c>
      <x:c r="I22" s="43" t="n">
        <x:f>SUM(I17:I21)</x:f>
        <x:v>0</x:v>
      </x:c>
      <x:c r="J22" s="43" t="n">
        <x:f>SUM(J17:J21)</x:f>
        <x:v>3000</x:v>
      </x:c>
      <x:c r="K22" s="43" t="n">
        <x:f>SUM(K17:K21)</x:f>
        <x:v>0</x:v>
      </x:c>
      <x:c r="L22" s="43" t="n">
        <x:f>SUM(L17:L21)</x:f>
        <x:v>8000</x:v>
      </x:c>
      <x:c r="M22" s="43" t="n">
        <x:f>SUM(M17:M21)</x:f>
        <x:v>0</x:v>
      </x:c>
      <x:c r="N22" s="43" t="n">
        <x:f>SUM(N17:N21)</x:f>
        <x:v>0</x:v>
      </x:c>
      <x:c r="O22" s="43" t="n">
        <x:f>SUM(O17:O21)</x:f>
        <x:v>0</x:v>
      </x:c>
      <x:c r="P22" s="43" t="n">
        <x:f>SUM(P17:P21)</x:f>
        <x:v>0</x:v>
      </x:c>
      <x:c r="Q22" s="43" t="n">
        <x:f>SUM(Q17:Q21)</x:f>
        <x:v>0</x:v>
      </x:c>
      <x:c r="R22" s="43" t="n">
        <x:f>SUM(R17:R21)</x:f>
        <x:v>0</x:v>
      </x:c>
      <x:c r="S22" s="43" t="n">
        <x:f>SUM(S17:S21)</x:f>
        <x:v>0</x:v>
      </x:c>
      <x:c r="T22" s="1"/>
      <x:c r="U22" s="1"/>
      <x:c r="V22" s="1"/>
      <x:c r="W22" s="1"/>
      <x:c r="X22" s="1"/>
      <x:c r="Y22" s="1"/>
      <x:c r="Z22" s="1"/>
    </x:row>
    <x:row r="23">
      <x:c r="A23" s="42" t="str">
        <x:v>Total operating uses</x:v>
      </x:c>
      <x:c r="B23" s="43" t="n">
        <x:f>SUM(B8:B13)+B16+B22</x:f>
        <x:v>29640</x:v>
      </x:c>
      <x:c r="C23" s="43" t="n">
        <x:f>SUM(C8:C13)+C16+C22</x:f>
        <x:v>13440</x:v>
      </x:c>
      <x:c r="D23" s="43" t="n">
        <x:f>SUM(D8:D13)+D16+D22</x:f>
        <x:v>13440</x:v>
      </x:c>
      <x:c r="E23" s="43" t="n">
        <x:f>SUM(E8:E13)+E16+E22</x:f>
        <x:v>31880</x:v>
      </x:c>
      <x:c r="F23" s="43" t="n">
        <x:f>SUM(F8:F13)+F16+F22</x:f>
        <x:v>26880</x:v>
      </x:c>
      <x:c r="G23" s="43" t="n">
        <x:f>SUM(G8:G13)+G16+G22</x:f>
        <x:v>26880</x:v>
      </x:c>
      <x:c r="H23" s="43" t="n">
        <x:f>SUM(H8:H13)+H16+H22</x:f>
        <x:v>30380</x:v>
      </x:c>
      <x:c r="I23" s="43" t="n">
        <x:f>SUM(I8:I13)+I16+I22</x:f>
        <x:v>30380</x:v>
      </x:c>
      <x:c r="J23" s="43" t="n">
        <x:f>SUM(J8:J13)+J16+J22</x:f>
        <x:v>33380</x:v>
      </x:c>
      <x:c r="K23" s="43" t="n">
        <x:f>SUM(K8:K13)+K16+K22</x:f>
        <x:v>27380</x:v>
      </x:c>
      <x:c r="L23" s="43" t="n">
        <x:f>SUM(L8:L13)+L16+L22</x:f>
        <x:v>35380</x:v>
      </x:c>
      <x:c r="M23" s="43" t="n">
        <x:f>SUM(M8:M13)+M16+M22</x:f>
        <x:v>27380</x:v>
      </x:c>
      <x:c r="N23" s="43" t="n">
        <x:f>SUM(N8:N13)+N16+N22</x:f>
        <x:v>24880</x:v>
      </x:c>
      <x:c r="O23" s="43" t="n">
        <x:f>SUM(O8:O13)+O16+O22</x:f>
        <x:v>24880</x:v>
      </x:c>
      <x:c r="P23" s="43" t="n">
        <x:f>SUM(P8:P13)+P16+P22</x:f>
        <x:v>24880</x:v>
      </x:c>
      <x:c r="Q23" s="43" t="n">
        <x:f>SUM(Q8:Q13)+Q16+Q22</x:f>
        <x:v>24880</x:v>
      </x:c>
      <x:c r="R23" s="43" t="n">
        <x:f>SUM(R8:R13)+R16+R22</x:f>
        <x:v>24880</x:v>
      </x:c>
      <x:c r="S23" s="43" t="n">
        <x:f>SUM(S8:S13)+S16+S22</x:f>
        <x:v>24880</x:v>
      </x:c>
      <x:c r="T23" s="1"/>
      <x:c r="U23" s="1"/>
      <x:c r="V23" s="1"/>
      <x:c r="W23" s="1"/>
      <x:c r="X23" s="1"/>
      <x:c r="Y23" s="1"/>
      <x:c r="Z23" s="1"/>
    </x:row>
    <x:row r="24">
      <x:c r="A24" s="1" t="str">
        <x:v>Contingency provision</x:v>
      </x:c>
      <x:c r="B24" s="11" t="n">
        <x:f>B23*'Assumptions'!$B$8</x:f>
        <x:v>2964</x:v>
      </x:c>
      <x:c r="C24" s="11" t="n">
        <x:f>C23*'Assumptions'!$B$8</x:f>
        <x:v>1344</x:v>
      </x:c>
      <x:c r="D24" s="11" t="n">
        <x:f>D23*'Assumptions'!$B$8</x:f>
        <x:v>1344</x:v>
      </x:c>
      <x:c r="E24" s="11" t="n">
        <x:f>E23*'Assumptions'!$B$8</x:f>
        <x:v>3188</x:v>
      </x:c>
      <x:c r="F24" s="11" t="n">
        <x:f>F23*'Assumptions'!$B$8</x:f>
        <x:v>2688</x:v>
      </x:c>
      <x:c r="G24" s="11" t="n">
        <x:f>G23*'Assumptions'!$B$8</x:f>
        <x:v>2688</x:v>
      </x:c>
      <x:c r="H24" s="11" t="n">
        <x:f>H23*'Assumptions'!$B$8</x:f>
        <x:v>3038</x:v>
      </x:c>
      <x:c r="I24" s="11" t="n">
        <x:f>I23*'Assumptions'!$B$8</x:f>
        <x:v>3038</x:v>
      </x:c>
      <x:c r="J24" s="11" t="n">
        <x:f>J23*'Assumptions'!$B$8</x:f>
        <x:v>3338</x:v>
      </x:c>
      <x:c r="K24" s="11" t="n">
        <x:f>K23*'Assumptions'!$B$8</x:f>
        <x:v>2738</x:v>
      </x:c>
      <x:c r="L24" s="11" t="n">
        <x:f>L23*'Assumptions'!$B$8</x:f>
        <x:v>3538</x:v>
      </x:c>
      <x:c r="M24" s="11" t="n">
        <x:f>M23*'Assumptions'!$B$8</x:f>
        <x:v>2738</x:v>
      </x:c>
      <x:c r="N24" s="11" t="n">
        <x:f>N23*'Assumptions'!$B$8</x:f>
        <x:v>2488</x:v>
      </x:c>
      <x:c r="O24" s="11" t="n">
        <x:f>O23*'Assumptions'!$B$8</x:f>
        <x:v>2488</x:v>
      </x:c>
      <x:c r="P24" s="11" t="n">
        <x:f>P23*'Assumptions'!$B$8</x:f>
        <x:v>2488</x:v>
      </x:c>
      <x:c r="Q24" s="11" t="n">
        <x:f>Q23*'Assumptions'!$B$8</x:f>
        <x:v>2488</x:v>
      </x:c>
      <x:c r="R24" s="11" t="n">
        <x:f>R23*'Assumptions'!$B$8</x:f>
        <x:v>2488</x:v>
      </x:c>
      <x:c r="S24" s="11" t="n">
        <x:f>S23*'Assumptions'!$B$8</x:f>
        <x:v>2488</x:v>
      </x:c>
      <x:c r="T24" s="1"/>
      <x:c r="U24" s="1"/>
      <x:c r="V24" s="1"/>
      <x:c r="W24" s="1"/>
      <x:c r="X24" s="1"/>
      <x:c r="Y24" s="1"/>
      <x:c r="Z24" s="1"/>
    </x:row>
    <x:row r="25">
      <x:c r="A25" s="42" t="str">
        <x:v>Monthly funding need</x:v>
      </x:c>
      <x:c r="B25" s="43" t="n">
        <x:f>SUM(B23:B24)</x:f>
        <x:v>32604</x:v>
      </x:c>
      <x:c r="C25" s="43" t="n">
        <x:f>SUM(C23:C24)</x:f>
        <x:v>14784</x:v>
      </x:c>
      <x:c r="D25" s="43" t="n">
        <x:f>SUM(D23:D24)</x:f>
        <x:v>14784</x:v>
      </x:c>
      <x:c r="E25" s="43" t="n">
        <x:f>SUM(E23:E24)</x:f>
        <x:v>35068</x:v>
      </x:c>
      <x:c r="F25" s="43" t="n">
        <x:f>SUM(F23:F24)</x:f>
        <x:v>29568</x:v>
      </x:c>
      <x:c r="G25" s="43" t="n">
        <x:f>SUM(G23:G24)</x:f>
        <x:v>29568</x:v>
      </x:c>
      <x:c r="H25" s="43" t="n">
        <x:f>SUM(H23:H24)</x:f>
        <x:v>33418</x:v>
      </x:c>
      <x:c r="I25" s="43" t="n">
        <x:f>SUM(I23:I24)</x:f>
        <x:v>33418</x:v>
      </x:c>
      <x:c r="J25" s="43" t="n">
        <x:f>SUM(J23:J24)</x:f>
        <x:v>36718</x:v>
      </x:c>
      <x:c r="K25" s="43" t="n">
        <x:f>SUM(K23:K24)</x:f>
        <x:v>30118</x:v>
      </x:c>
      <x:c r="L25" s="43" t="n">
        <x:f>SUM(L23:L24)</x:f>
        <x:v>38918</x:v>
      </x:c>
      <x:c r="M25" s="43" t="n">
        <x:f>SUM(M23:M24)</x:f>
        <x:v>30118</x:v>
      </x:c>
      <x:c r="N25" s="43" t="n">
        <x:f>SUM(N23:N24)</x:f>
        <x:v>27368</x:v>
      </x:c>
      <x:c r="O25" s="43" t="n">
        <x:f>SUM(O23:O24)</x:f>
        <x:v>27368</x:v>
      </x:c>
      <x:c r="P25" s="43" t="n">
        <x:f>SUM(P23:P24)</x:f>
        <x:v>27368</x:v>
      </x:c>
      <x:c r="Q25" s="43" t="n">
        <x:f>SUM(Q23:Q24)</x:f>
        <x:v>27368</x:v>
      </x:c>
      <x:c r="R25" s="43" t="n">
        <x:f>SUM(R23:R24)</x:f>
        <x:v>27368</x:v>
      </x:c>
      <x:c r="S25" s="43" t="n">
        <x:f>SUM(S23:S24)</x:f>
        <x:v>27368</x:v>
      </x:c>
      <x:c r="T25" s="1"/>
      <x:c r="U25" s="1"/>
      <x:c r="V25" s="1"/>
      <x:c r="W25" s="1"/>
      <x:c r="X25" s="1"/>
      <x:c r="Y25" s="1"/>
      <x:c r="Z25" s="1"/>
    </x:row>
    <x:row r="26">
      <x:c r="A26" s="42" t="str">
        <x:v>Cumulative funding need</x:v>
      </x:c>
      <x:c r="B26" s="43" t="n">
        <x:f>SUM($B$25:B25)</x:f>
        <x:v>32604</x:v>
      </x:c>
      <x:c r="C26" s="43" t="n">
        <x:f>SUM($B$25:C25)</x:f>
        <x:v>47388</x:v>
      </x:c>
      <x:c r="D26" s="43" t="n">
        <x:f>SUM($B$25:D25)</x:f>
        <x:v>62172</x:v>
      </x:c>
      <x:c r="E26" s="43" t="n">
        <x:f>SUM($B$25:E25)</x:f>
        <x:v>97240</x:v>
      </x:c>
      <x:c r="F26" s="43" t="n">
        <x:f>SUM($B$25:F25)</x:f>
        <x:v>126808</x:v>
      </x:c>
      <x:c r="G26" s="43" t="n">
        <x:f>SUM($B$25:G25)</x:f>
        <x:v>156376</x:v>
      </x:c>
      <x:c r="H26" s="43" t="n">
        <x:f>SUM($B$25:H25)</x:f>
        <x:v>189794</x:v>
      </x:c>
      <x:c r="I26" s="43" t="n">
        <x:f>SUM($B$25:I25)</x:f>
        <x:v>223212</x:v>
      </x:c>
      <x:c r="J26" s="43" t="n">
        <x:f>SUM($B$25:J25)</x:f>
        <x:v>259930</x:v>
      </x:c>
      <x:c r="K26" s="43" t="n">
        <x:f>SUM($B$25:K25)</x:f>
        <x:v>290048</x:v>
      </x:c>
      <x:c r="L26" s="43" t="n">
        <x:f>SUM($B$25:L25)</x:f>
        <x:v>328966</x:v>
      </x:c>
      <x:c r="M26" s="43" t="n">
        <x:f>SUM($B$25:M25)</x:f>
        <x:v>359084</x:v>
      </x:c>
      <x:c r="N26" s="43" t="n">
        <x:f>SUM($B$25:N25)</x:f>
        <x:v>386452</x:v>
      </x:c>
      <x:c r="O26" s="43" t="n">
        <x:f>SUM($B$25:O25)</x:f>
        <x:v>413820</x:v>
      </x:c>
      <x:c r="P26" s="43" t="n">
        <x:f>SUM($B$25:P25)</x:f>
        <x:v>441188</x:v>
      </x:c>
      <x:c r="Q26" s="43" t="n">
        <x:f>SUM($B$25:Q25)</x:f>
        <x:v>468556</x:v>
      </x:c>
      <x:c r="R26" s="43" t="n">
        <x:f>SUM($B$25:R25)</x:f>
        <x:v>495924</x:v>
      </x:c>
      <x:c r="S26" s="43" t="n">
        <x:f>SUM($B$25:S25)</x:f>
        <x:v>523292</x:v>
      </x:c>
      <x:c r="T26" s="1"/>
      <x:c r="U26" s="1"/>
      <x:c r="V26" s="1"/>
      <x:c r="W26" s="1"/>
      <x:c r="X26" s="1"/>
      <x:c r="Y26" s="1"/>
      <x:c r="Z26" s="1"/>
    </x:row>
    <x:row r="27">
      <x:c r="A27" s="1" t="str">
        <x:v>Illustrative financing available</x:v>
      </x:c>
      <x:c r="B27" s="11" t="n">
        <x:f>'Assumptions'!$B$6+'Assumptions'!$B$7+'Assumptions'!$B$14</x:f>
        <x:v>650000</x:v>
      </x:c>
      <x:c r="C27" s="11" t="n">
        <x:f>B27</x:f>
        <x:v>650000</x:v>
      </x:c>
      <x:c r="D27" s="11" t="n">
        <x:f>B27</x:f>
        <x:v>650000</x:v>
      </x:c>
      <x:c r="E27" s="11" t="n">
        <x:f>B27</x:f>
        <x:v>650000</x:v>
      </x:c>
      <x:c r="F27" s="11" t="n">
        <x:f>B27</x:f>
        <x:v>650000</x:v>
      </x:c>
      <x:c r="G27" s="11" t="n">
        <x:f>B27</x:f>
        <x:v>650000</x:v>
      </x:c>
      <x:c r="H27" s="11" t="n">
        <x:f>B27</x:f>
        <x:v>650000</x:v>
      </x:c>
      <x:c r="I27" s="11" t="n">
        <x:f>B27</x:f>
        <x:v>650000</x:v>
      </x:c>
      <x:c r="J27" s="11" t="n">
        <x:f>B27</x:f>
        <x:v>650000</x:v>
      </x:c>
      <x:c r="K27" s="11" t="n">
        <x:f>B27</x:f>
        <x:v>650000</x:v>
      </x:c>
      <x:c r="L27" s="11" t="n">
        <x:f>B27</x:f>
        <x:v>650000</x:v>
      </x:c>
      <x:c r="M27" s="11" t="n">
        <x:f>B27</x:f>
        <x:v>650000</x:v>
      </x:c>
      <x:c r="N27" s="11" t="n">
        <x:f>B27</x:f>
        <x:v>650000</x:v>
      </x:c>
      <x:c r="O27" s="11" t="n">
        <x:f>B27</x:f>
        <x:v>650000</x:v>
      </x:c>
      <x:c r="P27" s="11" t="n">
        <x:f>B27</x:f>
        <x:v>650000</x:v>
      </x:c>
      <x:c r="Q27" s="11" t="n">
        <x:f>B27</x:f>
        <x:v>650000</x:v>
      </x:c>
      <x:c r="R27" s="11" t="n">
        <x:f>B27</x:f>
        <x:v>650000</x:v>
      </x:c>
      <x:c r="S27" s="11" t="n">
        <x:f>B27</x:f>
        <x:v>650000</x:v>
      </x:c>
      <x:c r="T27" s="1"/>
      <x:c r="U27" s="1"/>
      <x:c r="V27" s="1"/>
      <x:c r="W27" s="1"/>
      <x:c r="X27" s="1"/>
      <x:c r="Y27" s="1"/>
      <x:c r="Z27" s="1"/>
    </x:row>
    <x:row r="28">
      <x:c r="A28" s="42" t="str">
        <x:v>Illustrative ending cash</x:v>
      </x:c>
      <x:c r="B28" s="43" t="n">
        <x:f>B27-B26</x:f>
        <x:v>617396</x:v>
      </x:c>
      <x:c r="C28" s="43" t="n">
        <x:f>C27-C26</x:f>
        <x:v>602612</x:v>
      </x:c>
      <x:c r="D28" s="43" t="n">
        <x:f>D27-D26</x:f>
        <x:v>587828</x:v>
      </x:c>
      <x:c r="E28" s="43" t="n">
        <x:f>E27-E26</x:f>
        <x:v>552760</x:v>
      </x:c>
      <x:c r="F28" s="43" t="n">
        <x:f>F27-F26</x:f>
        <x:v>523192</x:v>
      </x:c>
      <x:c r="G28" s="43" t="n">
        <x:f>G27-G26</x:f>
        <x:v>493624</x:v>
      </x:c>
      <x:c r="H28" s="43" t="n">
        <x:f>H27-H26</x:f>
        <x:v>460206</x:v>
      </x:c>
      <x:c r="I28" s="43" t="n">
        <x:f>I27-I26</x:f>
        <x:v>426788</x:v>
      </x:c>
      <x:c r="J28" s="43" t="n">
        <x:f>J27-J26</x:f>
        <x:v>390070</x:v>
      </x:c>
      <x:c r="K28" s="43" t="n">
        <x:f>K27-K26</x:f>
        <x:v>359952</x:v>
      </x:c>
      <x:c r="L28" s="43" t="n">
        <x:f>L27-L26</x:f>
        <x:v>321034</x:v>
      </x:c>
      <x:c r="M28" s="43" t="n">
        <x:f>M27-M26</x:f>
        <x:v>290916</x:v>
      </x:c>
      <x:c r="N28" s="43" t="n">
        <x:f>N27-N26</x:f>
        <x:v>263548</x:v>
      </x:c>
      <x:c r="O28" s="43" t="n">
        <x:f>O27-O26</x:f>
        <x:v>236180</x:v>
      </x:c>
      <x:c r="P28" s="43" t="n">
        <x:f>P27-P26</x:f>
        <x:v>208812</x:v>
      </x:c>
      <x:c r="Q28" s="43" t="n">
        <x:f>Q27-Q26</x:f>
        <x:v>181444</x:v>
      </x:c>
      <x:c r="R28" s="43" t="n">
        <x:f>R27-R26</x:f>
        <x:v>154076</x:v>
      </x:c>
      <x:c r="S28" s="43" t="n">
        <x:f>S27-S26</x:f>
        <x:v>126708</x:v>
      </x:c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1:S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8" hidden="0" customWidth="1"/>
  </x:cols>
  <x:sheetData>
    <x:row r="1" ht="20" customHeight="1">
      <x:c r="A1" s="10" t="str">
        <x:v>Model Checks</x:v>
      </x:c>
      <x:c r="B1" s="10" t="str">
        <x:v>Model Checks</x:v>
      </x:c>
      <x:c r="C1" s="10" t="str">
        <x:v>Model Checks</x:v>
      </x:c>
      <x:c r="D1" s="10" t="str">
        <x:v>Model Checks</x:v>
      </x:c>
      <x:c r="E1" s="10" t="str">
        <x:v>Model Checks</x:v>
      </x:c>
      <x:c r="F1" s="10" t="str">
        <x:v>Model Checks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 t="str">
        <x:v>MODEL STATUS</x:v>
      </x:c>
      <x:c r="B3" s="1" t="str">
        <x:f>IF(COUNTIF(E6:E11,"FAIL")=0,"PASS","FAIL")</x:f>
        <x:v>PASS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1" t="str">
        <x:v>Check</x:v>
      </x:c>
      <x:c r="B5" s="21" t="str">
        <x:v>Actual</x:v>
      </x:c>
      <x:c r="C5" s="21" t="str">
        <x:v>Expected</x:v>
      </x:c>
      <x:c r="D5" s="21" t="str">
        <x:v>Difference</x:v>
      </x:c>
      <x:c r="E5" s="21" t="str">
        <x:v>Status</x:v>
      </x:c>
      <x:c r="F5" s="21" t="str">
        <x:v>Where to fix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Timeline is 18 months</x:v>
      </x:c>
      <x:c r="B6" s="1" t="n">
        <x:f>'Assumptions'!$B$5</x:f>
        <x:v>18</x:v>
      </x:c>
      <x:c r="C6" s="1" t="n">
        <x:f>18</x:f>
        <x:v>18</x:v>
      </x:c>
      <x:c r="D6" s="1" t="n">
        <x:f>B6-C6</x:f>
        <x:v>0</x:v>
      </x:c>
      <x:c r="E6" s="1" t="str">
        <x:f>IF(D6=0,"PASS","FAIL")</x:f>
        <x:v>PASS</x:v>
      </x:c>
      <x:c r="F6" s="1" t="str">
        <x:v>Assumptions!B5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Published target covers calculated need</x:v>
      </x:c>
      <x:c r="B7" s="11" t="n">
        <x:f>'Assumptions'!$B$14</x:f>
        <x:v>650000</x:v>
      </x:c>
      <x:c r="C7" s="11" t="n">
        <x:f>'Assumptions'!$B$12</x:f>
        <x:v>630396</x:v>
      </x:c>
      <x:c r="D7" s="11" t="n">
        <x:f>B7-C7</x:f>
        <x:v>19604</x:v>
      </x:c>
      <x:c r="E7" s="1" t="str">
        <x:f>IF(D7&gt;=0,"PASS","FAIL")</x:f>
        <x:v>PASS</x:v>
      </x:c>
      <x:c r="F7" s="1" t="str">
        <x:v>Assumptions!B14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 t="str">
        <x:v>Start months are valid</x:v>
      </x:c>
      <x:c r="B8" s="1" t="n">
        <x:f>MIN('Assumptions'!$C$18:$C$26)</x:f>
        <x:v>1</x:v>
      </x:c>
      <x:c r="C8" s="1" t="n">
        <x:f>1</x:f>
        <x:v>1</x:v>
      </x:c>
      <x:c r="D8" s="1" t="n">
        <x:f>B8-C8</x:f>
        <x:v>0</x:v>
      </x:c>
      <x:c r="E8" s="1" t="str">
        <x:f>IF(B8&gt;=C8,"PASS","FAIL")</x:f>
        <x:v>PASS</x:v>
      </x:c>
      <x:c r="F8" s="1" t="str">
        <x:v>Assumptions!C18:C26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 t="str">
        <x:v>End months are valid</x:v>
      </x:c>
      <x:c r="B9" s="1" t="n">
        <x:f>MAX('Assumptions'!$D$18:$D$26)</x:f>
        <x:v>18</x:v>
      </x:c>
      <x:c r="C9" s="1" t="n">
        <x:f>18</x:f>
        <x:v>18</x:v>
      </x:c>
      <x:c r="D9" s="1" t="n">
        <x:f>B9-C9</x:f>
        <x:v>0</x:v>
      </x:c>
      <x:c r="E9" s="1" t="str">
        <x:f>IF(B9&lt;=C9,"PASS","FAIL")</x:f>
        <x:v>PASS</x:v>
      </x:c>
      <x:c r="F9" s="1" t="str">
        <x:v>Assumptions!D18:D26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 t="str">
        <x:v>Contingency is between 0% and 30%</x:v>
      </x:c>
      <x:c r="B10" s="44" t="n">
        <x:f>'Assumptions'!$B$8</x:f>
        <x:v>0.1</x:v>
      </x:c>
      <x:c r="C10" s="44" t="n">
        <x:f>0.3</x:f>
        <x:v>0.3</x:v>
      </x:c>
      <x:c r="D10" s="44" t="n">
        <x:f>B10-C10</x:f>
        <x:v>-0.19999999999999998</x:v>
      </x:c>
      <x:c r="E10" s="1" t="str">
        <x:f>IF(AND(B10&gt;=0,B10&lt;=C10),"PASS","FAIL")</x:f>
        <x:v>PASS</x:v>
      </x:c>
      <x:c r="F10" s="1" t="str">
        <x:v>Assumptions!B8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 t="str">
        <x:v>Ending reserve is between 0 and 6 months</x:v>
      </x:c>
      <x:c r="B11" s="1" t="n">
        <x:f>'Assumptions'!$B$10</x:f>
        <x:v>3</x:v>
      </x:c>
      <x:c r="C11" s="1" t="n">
        <x:f>6</x:f>
        <x:v>6</x:v>
      </x:c>
      <x:c r="D11" s="1" t="n">
        <x:f>B11-C11</x:f>
        <x:v>-3</x:v>
      </x:c>
      <x:c r="E11" s="1" t="str">
        <x:f>IF(AND(B11&gt;=0,B11&lt;=C11),"PASS","FAIL")</x:f>
        <x:v>PASS</x:v>
      </x:c>
      <x:c r="F11" s="1" t="str">
        <x:v>Assumptions!B10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1:F1"/>
  </x:mergeCells>
  <x:conditionalFormatting sqref="E6:E11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26" hidden="0" customWidth="1"/>
    <x:col min="7" max="7" width="30" hidden="0" customWidth="1"/>
    <x:col min="8" max="8" width="14" hidden="0" customWidth="1"/>
    <x:col min="9" max="9" width="48" hidden="0" customWidth="1"/>
  </x:cols>
  <x:sheetData>
    <x:row r="1" ht="26" customHeight="1">
      <x:c r="A1" s="5" t="str">
        <x:v>Sources and Audit Notes</x:v>
      </x:c>
      <x:c r="B1" s="5" t="str">
        <x:v>Sources and Audit Notes</x:v>
      </x:c>
      <x:c r="C1" s="5" t="str">
        <x:v>Sources and Audit Notes</x:v>
      </x:c>
      <x:c r="D1" s="5" t="str">
        <x:v>Sources and Audit Notes</x:v>
      </x:c>
      <x:c r="E1" s="5" t="str">
        <x:v>Sources and Audit Notes</x:v>
      </x:c>
      <x:c r="F1" s="5" t="str">
        <x:v>Sources and Audit Notes</x:v>
      </x:c>
      <x:c r="G1" s="5" t="str">
        <x:v>Sources and Audit Notes</x:v>
      </x:c>
      <x:c r="H1" s="5" t="str">
        <x:v>Sources and Audit Notes</x:v>
      </x:c>
      <x:c r="I1" s="5" t="str">
        <x:v>Sources and Audit Notes</x:v>
      </x:c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6" customHeight="1">
      <x:c r="A2" s="5" t="str">
        <x:v>Sources and Audit Notes</x:v>
      </x:c>
      <x:c r="B2" s="5" t="str">
        <x:v>Sources and Audit Notes</x:v>
      </x:c>
      <x:c r="C2" s="5" t="str">
        <x:v>Sources and Audit Notes</x:v>
      </x:c>
      <x:c r="D2" s="5" t="str">
        <x:v>Sources and Audit Notes</x:v>
      </x:c>
      <x:c r="E2" s="5" t="str">
        <x:v>Sources and Audit Notes</x:v>
      </x:c>
      <x:c r="F2" s="5" t="str">
        <x:v>Sources and Audit Notes</x:v>
      </x:c>
      <x:c r="G2" s="5" t="str">
        <x:v>Sources and Audit Notes</x:v>
      </x:c>
      <x:c r="H2" s="5" t="str">
        <x:v>Sources and Audit Notes</x:v>
      </x:c>
      <x:c r="I2" s="5" t="str">
        <x:v>Sources and Audit Notes</x:v>
      </x:c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1" t="str">
        <x:v>Item</x:v>
      </x:c>
      <x:c r="B4" s="21" t="str">
        <x:v>Value</x:v>
      </x:c>
      <x:c r="C4" s="21" t="str">
        <x:v>Units</x:v>
      </x:c>
      <x:c r="D4" s="21" t="str">
        <x:v>As of</x:v>
      </x:c>
      <x:c r="E4" s="21" t="str">
        <x:v>Source type</x:v>
      </x:c>
      <x:c r="F4" s="21" t="str">
        <x:v>Source</x:v>
      </x:c>
      <x:c r="G4" s="21" t="str">
        <x:v>Reference</x:v>
      </x:c>
      <x:c r="H4" s="21" t="str">
        <x:v>Owner</x:v>
      </x:c>
      <x:c r="I4" s="21" t="str">
        <x:v>Notes</x:v>
      </x:c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9" t="str">
        <x:v>Product scope</x:v>
      </x:c>
      <x:c r="B5" s="19" t="str">
        <x:v>Daily-planning wedge</x:v>
      </x:c>
      <x:c r="C5" s="19" t="str">
        <x:v>text</x:v>
      </x:c>
      <x:c r="D5" s="45" t="n">
        <x:v>46205.5</x:v>
      </x:c>
      <x:c r="E5" s="19" t="str">
        <x:v>Internal</x:v>
      </x:c>
      <x:c r="F5" s="19" t="str">
        <x:v>NOBS product decisions</x:v>
      </x:c>
      <x:c r="G5" s="19" t="str">
        <x:v>docs/PRODUCT_DECISIONS.md</x:v>
      </x:c>
      <x:c r="H5" s="19" t="str">
        <x:v>Alexander</x:v>
      </x:c>
      <x:c r="I5" s="19" t="str">
        <x:v>Approved product direction</x:v>
      </x:c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9" t="str">
        <x:v>Funding plan</x:v>
      </x:c>
      <x:c r="B6" s="19" t="str">
        <x:v>$250K–$500K planning envelope</x:v>
      </x:c>
      <x:c r="C6" s="19" t="str">
        <x:v>USD</x:v>
      </x:c>
      <x:c r="D6" s="45" t="n">
        <x:v>46205.5</x:v>
      </x:c>
      <x:c r="E6" s="19" t="str">
        <x:v>Internal assumption</x:v>
      </x:c>
      <x:c r="F6" s="19" t="str">
        <x:v>NOBS funding strategy</x:v>
      </x:c>
      <x:c r="G6" s="19" t="str">
        <x:v>docs/FUNDING_STRATEGY.md</x:v>
      </x:c>
      <x:c r="H6" s="19" t="str">
        <x:v>Alexander</x:v>
      </x:c>
      <x:c r="I6" s="19" t="str">
        <x:v>Replace with bottom-up model output</x:v>
      </x:c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9" t="str">
        <x:v>Founder compensation</x:v>
      </x:c>
      <x:c r="B7" s="19" t="n">
        <x:v>7000</x:v>
      </x:c>
      <x:c r="C7" s="19" t="str">
        <x:v>USD/month</x:v>
      </x:c>
      <x:c r="D7" s="45" t="n">
        <x:v>46205.5</x:v>
      </x:c>
      <x:c r="E7" s="19" t="str">
        <x:v>Illustrative assumption</x:v>
      </x:c>
      <x:c r="F7" s="19" t="str">
        <x:v>Founder input pending</x:v>
      </x:c>
      <x:c r="G7" s="19" t="str">
        <x:v>Assumptions!B18</x:v>
      </x:c>
      <x:c r="H7" s="19" t="str">
        <x:v>Alexander</x:v>
      </x:c>
      <x:c r="I7" s="19" t="str">
        <x:v>Not approved; replace</x:v>
      </x:c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9" t="str">
        <x:v>Engineering cost</x:v>
      </x:c>
      <x:c r="B8" s="19" t="n">
        <x:v>12000</x:v>
      </x:c>
      <x:c r="C8" s="19" t="str">
        <x:v>USD/month</x:v>
      </x:c>
      <x:c r="D8" s="45" t="n">
        <x:v>46205.5</x:v>
      </x:c>
      <x:c r="E8" s="19" t="str">
        <x:v>Illustrative assumption</x:v>
      </x:c>
      <x:c r="F8" s="19" t="str">
        <x:v>Founder hiring plan pending</x:v>
      </x:c>
      <x:c r="G8" s="19" t="str">
        <x:v>Assumptions!B20</x:v>
      </x:c>
      <x:c r="H8" s="19" t="str">
        <x:v>Alexander</x:v>
      </x:c>
      <x:c r="I8" s="19" t="str">
        <x:v>Not approved; replace</x:v>
      </x:c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9" t="str">
        <x:v>Current cash and commitments</x:v>
      </x:c>
      <x:c r="B9" s="19" t="n">
        <x:v>0</x:v>
      </x:c>
      <x:c r="C9" s="19" t="str">
        <x:v>USD</x:v>
      </x:c>
      <x:c r="D9" s="45" t="n">
        <x:v>46205.5</x:v>
      </x:c>
      <x:c r="E9" s="19" t="str">
        <x:v>Placeholder</x:v>
      </x:c>
      <x:c r="F9" s="19" t="str">
        <x:v>Founder input pending</x:v>
      </x:c>
      <x:c r="G9" s="19" t="str">
        <x:v>Assumptions!B6:B7</x:v>
      </x:c>
      <x:c r="H9" s="19" t="str">
        <x:v>Alexander</x:v>
      </x:c>
      <x:c r="I9" s="19" t="str">
        <x:v>Zero does not assert there is no cash or committed funding</x:v>
      </x:c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A1:I2"/>
  </x:mergeCells>
  <x:pageMargins left="0.7" right="0.7" top="0.75" bottom="0.75" header="0.3" footer="0.3"/>
</x:worksheet>
</file>